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gentry/Library/CloudStorage/GoogleDrive-eric.e.gentry@gmail.com/My Drive/College/Classes/2025 Spring - COMP520 Advanced Databases/Assignments/"/>
    </mc:Choice>
  </mc:AlternateContent>
  <xr:revisionPtr revIDLastSave="0" documentId="13_ncr:1_{3A4B9AAA-11C8-2C41-969E-E90216A105C7}" xr6:coauthVersionLast="47" xr6:coauthVersionMax="47" xr10:uidLastSave="{00000000-0000-0000-0000-000000000000}"/>
  <bookViews>
    <workbookView xWindow="23920" yWindow="5120" windowWidth="31980" windowHeight="28000" xr2:uid="{00000000-000D-0000-FFFF-FFFF00000000}"/>
  </bookViews>
  <sheets>
    <sheet name="Sheet3" sheetId="3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3" l="1"/>
  <c r="I6" i="3"/>
  <c r="I9" i="3"/>
  <c r="I35" i="3"/>
  <c r="I90" i="3"/>
  <c r="I17" i="3"/>
  <c r="I71" i="3"/>
  <c r="I75" i="3"/>
  <c r="I3" i="3"/>
  <c r="I18" i="3"/>
  <c r="I37" i="3"/>
  <c r="I60" i="3"/>
  <c r="I44" i="3"/>
  <c r="I51" i="3"/>
  <c r="I85" i="3"/>
  <c r="I33" i="3"/>
  <c r="I55" i="3"/>
  <c r="I56" i="3"/>
  <c r="I63" i="3"/>
  <c r="I62" i="3"/>
  <c r="I61" i="3"/>
  <c r="I36" i="3"/>
  <c r="I41" i="3"/>
  <c r="I57" i="3"/>
  <c r="I72" i="3"/>
  <c r="I58" i="3"/>
  <c r="I40" i="3"/>
  <c r="I59" i="3"/>
  <c r="I76" i="3"/>
  <c r="I89" i="3"/>
  <c r="I53" i="3"/>
  <c r="I25" i="3"/>
  <c r="I31" i="3"/>
  <c r="I43" i="3"/>
  <c r="I73" i="3"/>
  <c r="I95" i="3"/>
  <c r="I88" i="3"/>
  <c r="I54" i="3"/>
  <c r="I23" i="3"/>
  <c r="I20" i="3"/>
  <c r="I79" i="3"/>
  <c r="I84" i="3"/>
  <c r="I64" i="3"/>
  <c r="I38" i="3"/>
  <c r="I13" i="3"/>
  <c r="I28" i="3"/>
  <c r="I46" i="3"/>
  <c r="I78" i="3"/>
  <c r="I49" i="3"/>
  <c r="I12" i="3"/>
  <c r="I32" i="3"/>
  <c r="I42" i="3"/>
  <c r="I70" i="3"/>
  <c r="I81" i="3"/>
  <c r="I86" i="3"/>
  <c r="I87" i="3"/>
  <c r="I93" i="3"/>
  <c r="I7" i="3"/>
  <c r="I92" i="3"/>
  <c r="I5" i="3"/>
  <c r="I4" i="3"/>
  <c r="I91" i="3"/>
  <c r="I15" i="3"/>
  <c r="I27" i="3"/>
  <c r="I19" i="3"/>
  <c r="I74" i="3"/>
  <c r="I67" i="3"/>
  <c r="I52" i="3"/>
  <c r="I80" i="3"/>
  <c r="I11" i="3"/>
  <c r="I82" i="3"/>
  <c r="I83" i="3"/>
  <c r="I10" i="3"/>
  <c r="I94" i="3"/>
  <c r="I2" i="3"/>
  <c r="I8" i="3"/>
  <c r="I45" i="3"/>
  <c r="I66" i="3"/>
  <c r="I21" i="3"/>
  <c r="I16" i="3"/>
  <c r="I50" i="3"/>
  <c r="I68" i="3"/>
  <c r="I22" i="3"/>
  <c r="I29" i="3"/>
  <c r="I47" i="3"/>
  <c r="I26" i="3"/>
  <c r="I24" i="3"/>
  <c r="I30" i="3"/>
  <c r="I14" i="3"/>
  <c r="I48" i="3"/>
  <c r="I34" i="3"/>
  <c r="I77" i="3"/>
  <c r="I69" i="3"/>
  <c r="I39" i="3"/>
</calcChain>
</file>

<file path=xl/sharedStrings.xml><?xml version="1.0" encoding="utf-8"?>
<sst xmlns="http://schemas.openxmlformats.org/spreadsheetml/2006/main" count="294" uniqueCount="69">
  <si>
    <t>Spacetime Technologies</t>
  </si>
  <si>
    <t>Durrable Products</t>
  </si>
  <si>
    <t>Fast-Tie Aerospace</t>
  </si>
  <si>
    <t>Airframe fasteners</t>
  </si>
  <si>
    <t>Bolt-nut package</t>
  </si>
  <si>
    <t>Gasket</t>
  </si>
  <si>
    <t>Hulkey Fasteners</t>
  </si>
  <si>
    <t>Alum Sheeting</t>
  </si>
  <si>
    <t>Steelpin Inc.</t>
  </si>
  <si>
    <t>Manley Valve</t>
  </si>
  <si>
    <t>Pylon Accessories</t>
  </si>
  <si>
    <t>Control Panel</t>
  </si>
  <si>
    <t>Side Panel</t>
  </si>
  <si>
    <t>Electrical Connector</t>
  </si>
  <si>
    <t>Panel Decal</t>
  </si>
  <si>
    <t>Hatch Decal</t>
  </si>
  <si>
    <t>Door Decal</t>
  </si>
  <si>
    <t>Machined Valve</t>
  </si>
  <si>
    <t>Pressure Gauge</t>
  </si>
  <si>
    <t>Shielded Cable/ft.</t>
  </si>
  <si>
    <t>O-Ring</t>
  </si>
  <si>
    <t>Vendor Name</t>
  </si>
  <si>
    <t>A/P Terms</t>
  </si>
  <si>
    <t>Arrival Date</t>
  </si>
  <si>
    <t>Order Date</t>
  </si>
  <si>
    <t>Cost Per Order</t>
  </si>
  <si>
    <t>Airframe fasteners by Hulkey Fasteners</t>
  </si>
  <si>
    <t>Airframe fasteners by Alum Sheeting</t>
  </si>
  <si>
    <t>Airframe fasteners by Durrable Products</t>
  </si>
  <si>
    <t>Bolt-nut package by Steelpin Inc.</t>
  </si>
  <si>
    <t>Bolt-nut package by Spacetime Technologies</t>
  </si>
  <si>
    <t>Bolt-nut package by Durrable Products</t>
  </si>
  <si>
    <t>Bolt-nut package by Alum Sheeting</t>
  </si>
  <si>
    <t>Control Panel by Alum Sheeting</t>
  </si>
  <si>
    <t>Control Panel by Durrable Products</t>
  </si>
  <si>
    <t>Door Decal by Manley Valve</t>
  </si>
  <si>
    <t>Electrical Connector by Hulkey Fasteners</t>
  </si>
  <si>
    <t>Electrical Connector by Steelpin Inc.</t>
  </si>
  <si>
    <t>Electrical Connector by Fast-Tie Aerospace</t>
  </si>
  <si>
    <t>Gasket by Spacetime Technologies</t>
  </si>
  <si>
    <t>Gasket by Pylon Accessories</t>
  </si>
  <si>
    <t>Gasket by Durrable Products</t>
  </si>
  <si>
    <t>Hatch Decal by Hulkey Fasteners</t>
  </si>
  <si>
    <t>Hatch Decal by Manley Valve</t>
  </si>
  <si>
    <t>Machined Valve by Steelpin Inc.</t>
  </si>
  <si>
    <t>Machined Valve by Manley Valve</t>
  </si>
  <si>
    <t>O-Ring by Fast-Tie Aerospace</t>
  </si>
  <si>
    <t>O-Ring by Manley Valve</t>
  </si>
  <si>
    <t>O-Ring by Pylon Accessories</t>
  </si>
  <si>
    <t>O-Ring by Spacetime Technologies</t>
  </si>
  <si>
    <t>Panel Decal by Manley Valve</t>
  </si>
  <si>
    <t>Pressure Gauge by Durrable Products</t>
  </si>
  <si>
    <t>Pressure Gauge by Manley Valve</t>
  </si>
  <si>
    <t>Pressure Gauge by Fast-Tie Aerospace</t>
  </si>
  <si>
    <t>Shielded Cable/ft. by Fast-Tie Aerospace</t>
  </si>
  <si>
    <t>Shielded Cable/ft. by Steelpin Inc.</t>
  </si>
  <si>
    <t>Shielded Cable/ft. by Hulkey Fasteners</t>
  </si>
  <si>
    <t>Shielded Cable/ft. by Spacetime Technologies</t>
  </si>
  <si>
    <t>Shielded Cable/ft. by Durrable Products</t>
  </si>
  <si>
    <t>Side Panel by Alum Sheeting</t>
  </si>
  <si>
    <t>Side Panel by Fast-Tie Aerospace</t>
  </si>
  <si>
    <t>Side Panel by Steelpin Inc.</t>
  </si>
  <si>
    <t>Product Name</t>
  </si>
  <si>
    <t>Product Description</t>
  </si>
  <si>
    <t>Product Id</t>
  </si>
  <si>
    <t>Vendor Id</t>
  </si>
  <si>
    <t>Order Id</t>
  </si>
  <si>
    <t>Product Price</t>
  </si>
  <si>
    <t>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</si>
</sst>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1" xfId="0" applyFont="1" applyFill="1" applyBorder="1"/>
    <xf numFmtId="0" fontId="4" fillId="4" borderId="4" xfId="0" applyFont="1" applyFill="1" applyBorder="1"/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/>
    <xf numFmtId="44" fontId="4" fillId="4" borderId="5" xfId="2" applyFont="1" applyFill="1" applyBorder="1" applyAlignment="1">
      <alignment horizontal="right"/>
    </xf>
    <xf numFmtId="165" fontId="4" fillId="4" borderId="5" xfId="1" applyNumberFormat="1" applyFont="1" applyFill="1" applyBorder="1" applyAlignment="1">
      <alignment horizontal="right"/>
    </xf>
    <xf numFmtId="0" fontId="4" fillId="4" borderId="5" xfId="2" applyNumberFormat="1" applyFont="1" applyFill="1" applyBorder="1" applyAlignment="1">
      <alignment horizontal="center"/>
    </xf>
    <xf numFmtId="164" fontId="4" fillId="4" borderId="5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/>
    <xf numFmtId="44" fontId="4" fillId="3" borderId="3" xfId="2" applyFont="1" applyFill="1" applyBorder="1" applyAlignment="1">
      <alignment horizontal="right"/>
    </xf>
    <xf numFmtId="165" fontId="4" fillId="3" borderId="3" xfId="1" applyNumberFormat="1" applyFont="1" applyFill="1" applyBorder="1" applyAlignment="1">
      <alignment horizontal="right"/>
    </xf>
    <xf numFmtId="0" fontId="4" fillId="3" borderId="3" xfId="2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0" fontId="4" fillId="3" borderId="4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/>
    <xf numFmtId="44" fontId="4" fillId="3" borderId="5" xfId="2" applyFont="1" applyFill="1" applyBorder="1" applyAlignment="1">
      <alignment horizontal="right"/>
    </xf>
    <xf numFmtId="165" fontId="4" fillId="3" borderId="5" xfId="1" applyNumberFormat="1" applyFont="1" applyFill="1" applyBorder="1" applyAlignment="1">
      <alignment horizontal="right"/>
    </xf>
    <xf numFmtId="0" fontId="4" fillId="3" borderId="5" xfId="2" applyNumberFormat="1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mm/dd/yy;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mm/dd/yy;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95" totalsRowShown="0" headerRowDxfId="12">
  <autoFilter ref="A1:L95" xr:uid="{00000000-0009-0000-0100-000001000000}"/>
  <sortState xmlns:xlrd2="http://schemas.microsoft.com/office/spreadsheetml/2017/richdata2" ref="A2:L95">
    <sortCondition ref="A1"/>
  </sortState>
  <tableColumns count="12">
    <tableColumn id="3" xr3:uid="{00000000-0010-0000-0000-000003000000}" name="Order Id" dataDxfId="11"/>
    <tableColumn id="1" xr3:uid="{00000000-0010-0000-0000-000001000000}" name="Vendor Name" dataDxfId="10"/>
    <tableColumn id="2" xr3:uid="{00000000-0010-0000-0000-000002000000}" name="Vendor Id" dataDxfId="9"/>
    <tableColumn id="4" xr3:uid="{00000000-0010-0000-0000-000004000000}" name="Product Id" dataDxfId="8"/>
    <tableColumn id="13" xr3:uid="{00000000-0010-0000-0000-00000D000000}" name="Product Name" dataDxfId="7"/>
    <tableColumn id="12" xr3:uid="{00000000-0010-0000-0000-00000C000000}" name="Product Description" dataDxfId="6"/>
    <tableColumn id="6" xr3:uid="{00000000-0010-0000-0000-000006000000}" name="Product Price" dataDxfId="5" dataCellStyle="Currency"/>
    <tableColumn id="7" xr3:uid="{00000000-0010-0000-0000-000007000000}" name="Order Quantity" dataDxfId="4" dataCellStyle="Comma"/>
    <tableColumn id="8" xr3:uid="{00000000-0010-0000-0000-000008000000}" name="Cost Per Order" dataDxfId="3" dataCellStyle="Currency">
      <calculatedColumnFormula>G2*H2</calculatedColumnFormula>
    </tableColumn>
    <tableColumn id="9" xr3:uid="{00000000-0010-0000-0000-000009000000}" name="A/P Terms" dataDxfId="2" dataCellStyle="Currency"/>
    <tableColumn id="10" xr3:uid="{00000000-0010-0000-0000-00000A000000}" name="Order Date" dataDxfId="1"/>
    <tableColumn id="11" xr3:uid="{00000000-0010-0000-0000-00000B000000}" name="Arrival 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workbookViewId="0">
      <selection sqref="A1:XFD1"/>
    </sheetView>
  </sheetViews>
  <sheetFormatPr baseColWidth="10" defaultColWidth="8.83203125" defaultRowHeight="13" x14ac:dyDescent="0.15"/>
  <cols>
    <col min="1" max="1" width="10.6640625" bestFit="1" customWidth="1"/>
    <col min="2" max="2" width="21.6640625" bestFit="1" customWidth="1"/>
    <col min="3" max="3" width="12.1640625" bestFit="1" customWidth="1"/>
    <col min="4" max="4" width="12.5" bestFit="1" customWidth="1"/>
    <col min="5" max="5" width="18" bestFit="1" customWidth="1"/>
    <col min="6" max="6" width="40" bestFit="1" customWidth="1"/>
    <col min="7" max="7" width="15.6640625" bestFit="1" customWidth="1"/>
    <col min="8" max="9" width="16.6640625" bestFit="1" customWidth="1"/>
    <col min="10" max="10" width="12.5" bestFit="1" customWidth="1"/>
    <col min="11" max="11" width="13.1640625" bestFit="1" customWidth="1"/>
    <col min="12" max="12" width="14" bestFit="1" customWidth="1"/>
    <col min="13" max="13" width="13.83203125" customWidth="1"/>
    <col min="14" max="14" width="13.6640625" bestFit="1" customWidth="1"/>
  </cols>
  <sheetData>
    <row r="1" spans="1:14" ht="14" thickBot="1" x14ac:dyDescent="0.2">
      <c r="A1" s="3" t="s">
        <v>66</v>
      </c>
      <c r="B1" s="2" t="s">
        <v>21</v>
      </c>
      <c r="C1" s="3" t="s">
        <v>65</v>
      </c>
      <c r="D1" s="3" t="s">
        <v>64</v>
      </c>
      <c r="E1" s="3" t="s">
        <v>62</v>
      </c>
      <c r="F1" s="3" t="s">
        <v>63</v>
      </c>
      <c r="G1" s="3" t="s">
        <v>67</v>
      </c>
      <c r="H1" s="3" t="s">
        <v>68</v>
      </c>
      <c r="I1" s="3" t="s">
        <v>25</v>
      </c>
      <c r="J1" s="3" t="s">
        <v>22</v>
      </c>
      <c r="K1" s="3" t="s">
        <v>24</v>
      </c>
      <c r="L1" s="3" t="s">
        <v>23</v>
      </c>
      <c r="M1" s="1"/>
      <c r="N1" s="1"/>
    </row>
    <row r="2" spans="1:14" ht="15" thickTop="1" thickBot="1" x14ac:dyDescent="0.2">
      <c r="A2" s="12">
        <v>10001</v>
      </c>
      <c r="B2" s="11" t="s">
        <v>6</v>
      </c>
      <c r="C2" s="12">
        <v>1</v>
      </c>
      <c r="D2" s="12">
        <v>1122</v>
      </c>
      <c r="E2" s="13" t="s">
        <v>3</v>
      </c>
      <c r="F2" s="13" t="s">
        <v>26</v>
      </c>
      <c r="G2" s="14">
        <v>4.25</v>
      </c>
      <c r="H2" s="15">
        <v>19500</v>
      </c>
      <c r="I2" s="14">
        <f t="shared" ref="I2:I33" si="0">G2*H2</f>
        <v>82875</v>
      </c>
      <c r="J2" s="16">
        <v>30</v>
      </c>
      <c r="K2" s="17">
        <v>42587</v>
      </c>
      <c r="L2" s="17">
        <v>42595</v>
      </c>
    </row>
    <row r="3" spans="1:14" ht="15" thickTop="1" thickBot="1" x14ac:dyDescent="0.2">
      <c r="A3" s="12">
        <v>10002</v>
      </c>
      <c r="B3" s="4" t="s">
        <v>7</v>
      </c>
      <c r="C3" s="5">
        <v>5</v>
      </c>
      <c r="D3" s="5">
        <v>1243</v>
      </c>
      <c r="E3" s="6" t="s">
        <v>3</v>
      </c>
      <c r="F3" s="6" t="s">
        <v>27</v>
      </c>
      <c r="G3" s="7">
        <v>4.25</v>
      </c>
      <c r="H3" s="8">
        <v>10000</v>
      </c>
      <c r="I3" s="7">
        <f t="shared" si="0"/>
        <v>42500</v>
      </c>
      <c r="J3" s="9">
        <v>30</v>
      </c>
      <c r="K3" s="10">
        <v>42590</v>
      </c>
      <c r="L3" s="10">
        <v>42596</v>
      </c>
    </row>
    <row r="4" spans="1:14" ht="15" thickTop="1" thickBot="1" x14ac:dyDescent="0.2">
      <c r="A4" s="12">
        <v>10003</v>
      </c>
      <c r="B4" s="18" t="s">
        <v>2</v>
      </c>
      <c r="C4" s="19">
        <v>4</v>
      </c>
      <c r="D4" s="19">
        <v>5462</v>
      </c>
      <c r="E4" s="20" t="s">
        <v>19</v>
      </c>
      <c r="F4" s="20" t="s">
        <v>54</v>
      </c>
      <c r="G4" s="21">
        <v>1.05</v>
      </c>
      <c r="H4" s="22">
        <v>23000</v>
      </c>
      <c r="I4" s="21">
        <f t="shared" si="0"/>
        <v>24150</v>
      </c>
      <c r="J4" s="23">
        <v>30</v>
      </c>
      <c r="K4" s="24">
        <v>42592</v>
      </c>
      <c r="L4" s="24">
        <v>42597</v>
      </c>
    </row>
    <row r="5" spans="1:14" ht="15" thickTop="1" thickBot="1" x14ac:dyDescent="0.2">
      <c r="A5" s="12">
        <v>10004</v>
      </c>
      <c r="B5" s="4" t="s">
        <v>2</v>
      </c>
      <c r="C5" s="5">
        <v>4</v>
      </c>
      <c r="D5" s="5">
        <v>5462</v>
      </c>
      <c r="E5" s="6" t="s">
        <v>19</v>
      </c>
      <c r="F5" s="6" t="s">
        <v>54</v>
      </c>
      <c r="G5" s="7">
        <v>1.05</v>
      </c>
      <c r="H5" s="8">
        <v>21500</v>
      </c>
      <c r="I5" s="7">
        <f t="shared" si="0"/>
        <v>22575</v>
      </c>
      <c r="J5" s="9">
        <v>30</v>
      </c>
      <c r="K5" s="10">
        <v>42597</v>
      </c>
      <c r="L5" s="10">
        <v>42604</v>
      </c>
    </row>
    <row r="6" spans="1:14" ht="15" thickTop="1" thickBot="1" x14ac:dyDescent="0.2">
      <c r="A6" s="12">
        <v>10005</v>
      </c>
      <c r="B6" s="4" t="s">
        <v>8</v>
      </c>
      <c r="C6" s="5">
        <v>6</v>
      </c>
      <c r="D6" s="5">
        <v>5319</v>
      </c>
      <c r="E6" s="6" t="s">
        <v>19</v>
      </c>
      <c r="F6" s="6" t="s">
        <v>55</v>
      </c>
      <c r="G6" s="7">
        <v>1.1000000000000001</v>
      </c>
      <c r="H6" s="8">
        <v>17500</v>
      </c>
      <c r="I6" s="7">
        <f t="shared" si="0"/>
        <v>19250</v>
      </c>
      <c r="J6" s="9">
        <v>30</v>
      </c>
      <c r="K6" s="10">
        <v>42602</v>
      </c>
      <c r="L6" s="10">
        <v>42613</v>
      </c>
    </row>
    <row r="7" spans="1:14" ht="15" thickTop="1" thickBot="1" x14ac:dyDescent="0.2">
      <c r="A7" s="12">
        <v>10006</v>
      </c>
      <c r="B7" s="18" t="s">
        <v>2</v>
      </c>
      <c r="C7" s="19">
        <v>4</v>
      </c>
      <c r="D7" s="19">
        <v>5462</v>
      </c>
      <c r="E7" s="20" t="s">
        <v>19</v>
      </c>
      <c r="F7" s="20" t="s">
        <v>54</v>
      </c>
      <c r="G7" s="21">
        <v>1.05</v>
      </c>
      <c r="H7" s="22">
        <v>22500</v>
      </c>
      <c r="I7" s="21">
        <f t="shared" si="0"/>
        <v>23625</v>
      </c>
      <c r="J7" s="23">
        <v>30</v>
      </c>
      <c r="K7" s="24">
        <v>42602</v>
      </c>
      <c r="L7" s="24">
        <v>42608</v>
      </c>
    </row>
    <row r="8" spans="1:14" ht="15" thickTop="1" thickBot="1" x14ac:dyDescent="0.2">
      <c r="A8" s="12">
        <v>10007</v>
      </c>
      <c r="B8" s="4" t="s">
        <v>6</v>
      </c>
      <c r="C8" s="5">
        <v>1</v>
      </c>
      <c r="D8" s="5">
        <v>3166</v>
      </c>
      <c r="E8" s="6" t="s">
        <v>13</v>
      </c>
      <c r="F8" s="6" t="s">
        <v>36</v>
      </c>
      <c r="G8" s="7">
        <v>1.25</v>
      </c>
      <c r="H8" s="8">
        <v>5600</v>
      </c>
      <c r="I8" s="7">
        <f t="shared" si="0"/>
        <v>7000</v>
      </c>
      <c r="J8" s="9">
        <v>30</v>
      </c>
      <c r="K8" s="10">
        <v>42607</v>
      </c>
      <c r="L8" s="10">
        <v>42611</v>
      </c>
    </row>
    <row r="9" spans="1:14" ht="15" thickTop="1" thickBot="1" x14ac:dyDescent="0.2">
      <c r="A9" s="12">
        <v>10008</v>
      </c>
      <c r="B9" s="4" t="s">
        <v>8</v>
      </c>
      <c r="C9" s="5">
        <v>6</v>
      </c>
      <c r="D9" s="5">
        <v>4312</v>
      </c>
      <c r="E9" s="6" t="s">
        <v>4</v>
      </c>
      <c r="F9" s="6" t="s">
        <v>29</v>
      </c>
      <c r="G9" s="7">
        <v>3.75</v>
      </c>
      <c r="H9" s="8">
        <v>4250</v>
      </c>
      <c r="I9" s="7">
        <f t="shared" si="0"/>
        <v>15937.5</v>
      </c>
      <c r="J9" s="9">
        <v>30</v>
      </c>
      <c r="K9" s="10">
        <v>42607</v>
      </c>
      <c r="L9" s="10">
        <v>42614</v>
      </c>
    </row>
    <row r="10" spans="1:14" ht="15" thickTop="1" thickBot="1" x14ac:dyDescent="0.2">
      <c r="A10" s="12">
        <v>10009</v>
      </c>
      <c r="B10" s="18" t="s">
        <v>8</v>
      </c>
      <c r="C10" s="19">
        <v>6</v>
      </c>
      <c r="D10" s="19">
        <v>5319</v>
      </c>
      <c r="E10" s="20" t="s">
        <v>19</v>
      </c>
      <c r="F10" s="20" t="s">
        <v>55</v>
      </c>
      <c r="G10" s="21">
        <v>1.1000000000000001</v>
      </c>
      <c r="H10" s="22">
        <v>18100</v>
      </c>
      <c r="I10" s="21">
        <f t="shared" si="0"/>
        <v>19910</v>
      </c>
      <c r="J10" s="23">
        <v>30</v>
      </c>
      <c r="K10" s="24">
        <v>42607</v>
      </c>
      <c r="L10" s="24">
        <v>42618</v>
      </c>
    </row>
    <row r="11" spans="1:14" ht="15" thickTop="1" thickBot="1" x14ac:dyDescent="0.2">
      <c r="A11" s="12">
        <v>10010</v>
      </c>
      <c r="B11" s="18" t="s">
        <v>2</v>
      </c>
      <c r="C11" s="19">
        <v>4</v>
      </c>
      <c r="D11" s="19">
        <v>5462</v>
      </c>
      <c r="E11" s="20" t="s">
        <v>19</v>
      </c>
      <c r="F11" s="20" t="s">
        <v>54</v>
      </c>
      <c r="G11" s="21">
        <v>1.05</v>
      </c>
      <c r="H11" s="22">
        <v>22500</v>
      </c>
      <c r="I11" s="21">
        <f t="shared" si="0"/>
        <v>23625</v>
      </c>
      <c r="J11" s="23">
        <v>30</v>
      </c>
      <c r="K11" s="24">
        <v>42607</v>
      </c>
      <c r="L11" s="24">
        <v>42615</v>
      </c>
    </row>
    <row r="12" spans="1:14" ht="15" thickTop="1" thickBot="1" x14ac:dyDescent="0.2">
      <c r="A12" s="12">
        <v>10011</v>
      </c>
      <c r="B12" s="4" t="s">
        <v>2</v>
      </c>
      <c r="C12" s="5">
        <v>4</v>
      </c>
      <c r="D12" s="5">
        <v>6321</v>
      </c>
      <c r="E12" s="6" t="s">
        <v>20</v>
      </c>
      <c r="F12" s="6" t="s">
        <v>46</v>
      </c>
      <c r="G12" s="7">
        <v>2.4500000000000002</v>
      </c>
      <c r="H12" s="8">
        <v>1300</v>
      </c>
      <c r="I12" s="7">
        <f t="shared" si="0"/>
        <v>3185.0000000000005</v>
      </c>
      <c r="J12" s="9">
        <v>30</v>
      </c>
      <c r="K12" s="10">
        <v>42607</v>
      </c>
      <c r="L12" s="10">
        <v>42617</v>
      </c>
    </row>
    <row r="13" spans="1:14" ht="15" thickTop="1" thickBot="1" x14ac:dyDescent="0.2">
      <c r="A13" s="12">
        <v>10012</v>
      </c>
      <c r="B13" s="25" t="s">
        <v>1</v>
      </c>
      <c r="C13" s="19">
        <v>3</v>
      </c>
      <c r="D13" s="19">
        <v>7260</v>
      </c>
      <c r="E13" s="20" t="s">
        <v>18</v>
      </c>
      <c r="F13" s="20" t="s">
        <v>51</v>
      </c>
      <c r="G13" s="21">
        <v>90</v>
      </c>
      <c r="H13" s="22">
        <v>100</v>
      </c>
      <c r="I13" s="21">
        <f t="shared" si="0"/>
        <v>9000</v>
      </c>
      <c r="J13" s="19">
        <v>45</v>
      </c>
      <c r="K13" s="24">
        <v>42607</v>
      </c>
      <c r="L13" s="24">
        <v>42610</v>
      </c>
    </row>
    <row r="14" spans="1:14" ht="15" thickTop="1" thickBot="1" x14ac:dyDescent="0.2">
      <c r="A14" s="12">
        <v>10013</v>
      </c>
      <c r="B14" s="18" t="s">
        <v>6</v>
      </c>
      <c r="C14" s="19">
        <v>1</v>
      </c>
      <c r="D14" s="19">
        <v>9966</v>
      </c>
      <c r="E14" s="20" t="s">
        <v>15</v>
      </c>
      <c r="F14" s="20" t="s">
        <v>42</v>
      </c>
      <c r="G14" s="21">
        <v>0.75</v>
      </c>
      <c r="H14" s="22">
        <v>500</v>
      </c>
      <c r="I14" s="21">
        <f t="shared" si="0"/>
        <v>375</v>
      </c>
      <c r="J14" s="23">
        <v>30</v>
      </c>
      <c r="K14" s="24">
        <v>42607</v>
      </c>
      <c r="L14" s="24">
        <v>42613</v>
      </c>
    </row>
    <row r="15" spans="1:14" ht="15" thickTop="1" thickBot="1" x14ac:dyDescent="0.2">
      <c r="A15" s="12">
        <v>10014</v>
      </c>
      <c r="B15" s="4" t="s">
        <v>8</v>
      </c>
      <c r="C15" s="5">
        <v>6</v>
      </c>
      <c r="D15" s="5">
        <v>5234</v>
      </c>
      <c r="E15" s="6" t="s">
        <v>13</v>
      </c>
      <c r="F15" s="6" t="s">
        <v>37</v>
      </c>
      <c r="G15" s="7">
        <v>1.65</v>
      </c>
      <c r="H15" s="8">
        <v>4500</v>
      </c>
      <c r="I15" s="7">
        <f t="shared" si="0"/>
        <v>7425</v>
      </c>
      <c r="J15" s="9">
        <v>30</v>
      </c>
      <c r="K15" s="10">
        <v>42610</v>
      </c>
      <c r="L15" s="10">
        <v>42618</v>
      </c>
    </row>
    <row r="16" spans="1:14" ht="15" thickTop="1" thickBot="1" x14ac:dyDescent="0.2">
      <c r="A16" s="12">
        <v>10015</v>
      </c>
      <c r="B16" s="18" t="s">
        <v>6</v>
      </c>
      <c r="C16" s="19">
        <v>1</v>
      </c>
      <c r="D16" s="19">
        <v>3166</v>
      </c>
      <c r="E16" s="20" t="s">
        <v>13</v>
      </c>
      <c r="F16" s="20" t="s">
        <v>36</v>
      </c>
      <c r="G16" s="21">
        <v>1.25</v>
      </c>
      <c r="H16" s="22">
        <v>5500</v>
      </c>
      <c r="I16" s="21">
        <f t="shared" si="0"/>
        <v>6875</v>
      </c>
      <c r="J16" s="23">
        <v>30</v>
      </c>
      <c r="K16" s="24">
        <v>42614</v>
      </c>
      <c r="L16" s="24">
        <v>42619</v>
      </c>
    </row>
    <row r="17" spans="1:12" ht="15" thickTop="1" thickBot="1" x14ac:dyDescent="0.2">
      <c r="A17" s="12">
        <v>10016</v>
      </c>
      <c r="B17" s="18" t="s">
        <v>8</v>
      </c>
      <c r="C17" s="19">
        <v>6</v>
      </c>
      <c r="D17" s="19">
        <v>4312</v>
      </c>
      <c r="E17" s="20" t="s">
        <v>4</v>
      </c>
      <c r="F17" s="20" t="s">
        <v>29</v>
      </c>
      <c r="G17" s="21">
        <v>3.75</v>
      </c>
      <c r="H17" s="22">
        <v>4200</v>
      </c>
      <c r="I17" s="21">
        <f t="shared" si="0"/>
        <v>15750</v>
      </c>
      <c r="J17" s="23">
        <v>30</v>
      </c>
      <c r="K17" s="24">
        <v>42614</v>
      </c>
      <c r="L17" s="24">
        <v>42623</v>
      </c>
    </row>
    <row r="18" spans="1:12" ht="15" thickTop="1" thickBot="1" x14ac:dyDescent="0.2">
      <c r="A18" s="12">
        <v>10017</v>
      </c>
      <c r="B18" s="4" t="s">
        <v>7</v>
      </c>
      <c r="C18" s="5">
        <v>5</v>
      </c>
      <c r="D18" s="5">
        <v>5417</v>
      </c>
      <c r="E18" s="6" t="s">
        <v>11</v>
      </c>
      <c r="F18" s="6" t="s">
        <v>33</v>
      </c>
      <c r="G18" s="7">
        <v>255</v>
      </c>
      <c r="H18" s="8">
        <v>406</v>
      </c>
      <c r="I18" s="7">
        <f t="shared" si="0"/>
        <v>103530</v>
      </c>
      <c r="J18" s="9">
        <v>30</v>
      </c>
      <c r="K18" s="10">
        <v>42614</v>
      </c>
      <c r="L18" s="10">
        <v>42623</v>
      </c>
    </row>
    <row r="19" spans="1:12" ht="15" thickTop="1" thickBot="1" x14ac:dyDescent="0.2">
      <c r="A19" s="12">
        <v>10018</v>
      </c>
      <c r="B19" s="4" t="s">
        <v>8</v>
      </c>
      <c r="C19" s="5">
        <v>6</v>
      </c>
      <c r="D19" s="5">
        <v>5234</v>
      </c>
      <c r="E19" s="6" t="s">
        <v>13</v>
      </c>
      <c r="F19" s="6" t="s">
        <v>37</v>
      </c>
      <c r="G19" s="7">
        <v>1.65</v>
      </c>
      <c r="H19" s="8">
        <v>4850</v>
      </c>
      <c r="I19" s="7">
        <f t="shared" si="0"/>
        <v>8002.5</v>
      </c>
      <c r="J19" s="9">
        <v>30</v>
      </c>
      <c r="K19" s="10">
        <v>42615</v>
      </c>
      <c r="L19" s="10">
        <v>42624</v>
      </c>
    </row>
    <row r="20" spans="1:12" ht="15" thickTop="1" thickBot="1" x14ac:dyDescent="0.2">
      <c r="A20" s="12">
        <v>10019</v>
      </c>
      <c r="B20" s="18" t="s">
        <v>8</v>
      </c>
      <c r="C20" s="19">
        <v>6</v>
      </c>
      <c r="D20" s="19">
        <v>4312</v>
      </c>
      <c r="E20" s="20" t="s">
        <v>4</v>
      </c>
      <c r="F20" s="20" t="s">
        <v>29</v>
      </c>
      <c r="G20" s="21">
        <v>3.75</v>
      </c>
      <c r="H20" s="22">
        <v>4150</v>
      </c>
      <c r="I20" s="21">
        <f t="shared" si="0"/>
        <v>15562.5</v>
      </c>
      <c r="J20" s="23">
        <v>30</v>
      </c>
      <c r="K20" s="24">
        <v>42616</v>
      </c>
      <c r="L20" s="24">
        <v>42624</v>
      </c>
    </row>
    <row r="21" spans="1:12" ht="15" thickTop="1" thickBot="1" x14ac:dyDescent="0.2">
      <c r="A21" s="12">
        <v>10020</v>
      </c>
      <c r="B21" s="4" t="s">
        <v>6</v>
      </c>
      <c r="C21" s="5">
        <v>1</v>
      </c>
      <c r="D21" s="5">
        <v>1122</v>
      </c>
      <c r="E21" s="6" t="s">
        <v>3</v>
      </c>
      <c r="F21" s="6" t="s">
        <v>26</v>
      </c>
      <c r="G21" s="7">
        <v>4.25</v>
      </c>
      <c r="H21" s="8">
        <v>15500</v>
      </c>
      <c r="I21" s="7">
        <f t="shared" si="0"/>
        <v>65875</v>
      </c>
      <c r="J21" s="9">
        <v>30</v>
      </c>
      <c r="K21" s="10">
        <v>42617</v>
      </c>
      <c r="L21" s="10">
        <v>42625</v>
      </c>
    </row>
    <row r="22" spans="1:12" ht="15" thickTop="1" thickBot="1" x14ac:dyDescent="0.2">
      <c r="A22" s="12">
        <v>10021</v>
      </c>
      <c r="B22" s="18" t="s">
        <v>6</v>
      </c>
      <c r="C22" s="19">
        <v>1</v>
      </c>
      <c r="D22" s="19">
        <v>1122</v>
      </c>
      <c r="E22" s="20" t="s">
        <v>3</v>
      </c>
      <c r="F22" s="20" t="s">
        <v>26</v>
      </c>
      <c r="G22" s="21">
        <v>4.25</v>
      </c>
      <c r="H22" s="22">
        <v>12500</v>
      </c>
      <c r="I22" s="21">
        <f t="shared" si="0"/>
        <v>53125</v>
      </c>
      <c r="J22" s="23">
        <v>30</v>
      </c>
      <c r="K22" s="24">
        <v>42618</v>
      </c>
      <c r="L22" s="24">
        <v>42624</v>
      </c>
    </row>
    <row r="23" spans="1:12" ht="15" thickTop="1" thickBot="1" x14ac:dyDescent="0.2">
      <c r="A23" s="12">
        <v>10022</v>
      </c>
      <c r="B23" s="4" t="s">
        <v>7</v>
      </c>
      <c r="C23" s="5">
        <v>5</v>
      </c>
      <c r="D23" s="5">
        <v>1243</v>
      </c>
      <c r="E23" s="6" t="s">
        <v>3</v>
      </c>
      <c r="F23" s="6" t="s">
        <v>27</v>
      </c>
      <c r="G23" s="7">
        <v>4.25</v>
      </c>
      <c r="H23" s="8">
        <v>9000</v>
      </c>
      <c r="I23" s="7">
        <f t="shared" si="0"/>
        <v>38250</v>
      </c>
      <c r="J23" s="9">
        <v>30</v>
      </c>
      <c r="K23" s="10">
        <v>42618</v>
      </c>
      <c r="L23" s="10">
        <v>42625</v>
      </c>
    </row>
    <row r="24" spans="1:12" ht="15" thickTop="1" thickBot="1" x14ac:dyDescent="0.2">
      <c r="A24" s="12">
        <v>10023</v>
      </c>
      <c r="B24" s="4" t="s">
        <v>6</v>
      </c>
      <c r="C24" s="5">
        <v>1</v>
      </c>
      <c r="D24" s="5">
        <v>3166</v>
      </c>
      <c r="E24" s="6" t="s">
        <v>13</v>
      </c>
      <c r="F24" s="6" t="s">
        <v>36</v>
      </c>
      <c r="G24" s="7">
        <v>1.25</v>
      </c>
      <c r="H24" s="8">
        <v>5650</v>
      </c>
      <c r="I24" s="7">
        <f t="shared" si="0"/>
        <v>7062.5</v>
      </c>
      <c r="J24" s="9">
        <v>30</v>
      </c>
      <c r="K24" s="10">
        <v>42618</v>
      </c>
      <c r="L24" s="10">
        <v>42623</v>
      </c>
    </row>
    <row r="25" spans="1:12" ht="15" thickTop="1" thickBot="1" x14ac:dyDescent="0.2">
      <c r="A25" s="12">
        <v>10024</v>
      </c>
      <c r="B25" s="18" t="s">
        <v>0</v>
      </c>
      <c r="C25" s="19">
        <v>2</v>
      </c>
      <c r="D25" s="19">
        <v>4111</v>
      </c>
      <c r="E25" s="20" t="s">
        <v>4</v>
      </c>
      <c r="F25" s="20" t="s">
        <v>30</v>
      </c>
      <c r="G25" s="21">
        <v>3.55</v>
      </c>
      <c r="H25" s="22">
        <v>4800</v>
      </c>
      <c r="I25" s="21">
        <f t="shared" si="0"/>
        <v>17040</v>
      </c>
      <c r="J25" s="23">
        <v>25</v>
      </c>
      <c r="K25" s="24">
        <v>42618</v>
      </c>
      <c r="L25" s="24">
        <v>42633</v>
      </c>
    </row>
    <row r="26" spans="1:12" ht="15" thickTop="1" thickBot="1" x14ac:dyDescent="0.2">
      <c r="A26" s="12">
        <v>10025</v>
      </c>
      <c r="B26" s="18" t="s">
        <v>6</v>
      </c>
      <c r="C26" s="19">
        <v>1</v>
      </c>
      <c r="D26" s="19">
        <v>5066</v>
      </c>
      <c r="E26" s="20" t="s">
        <v>19</v>
      </c>
      <c r="F26" s="20" t="s">
        <v>56</v>
      </c>
      <c r="G26" s="21">
        <v>0.95</v>
      </c>
      <c r="H26" s="22">
        <v>25000</v>
      </c>
      <c r="I26" s="21">
        <f t="shared" si="0"/>
        <v>23750</v>
      </c>
      <c r="J26" s="23">
        <v>30</v>
      </c>
      <c r="K26" s="24">
        <v>42618</v>
      </c>
      <c r="L26" s="24">
        <v>42625</v>
      </c>
    </row>
    <row r="27" spans="1:12" ht="15" thickTop="1" thickBot="1" x14ac:dyDescent="0.2">
      <c r="A27" s="12">
        <v>10026</v>
      </c>
      <c r="B27" s="4" t="s">
        <v>8</v>
      </c>
      <c r="C27" s="5">
        <v>6</v>
      </c>
      <c r="D27" s="5">
        <v>5234</v>
      </c>
      <c r="E27" s="6" t="s">
        <v>13</v>
      </c>
      <c r="F27" s="6" t="s">
        <v>37</v>
      </c>
      <c r="G27" s="7">
        <v>1.65</v>
      </c>
      <c r="H27" s="8">
        <v>4750</v>
      </c>
      <c r="I27" s="7">
        <f t="shared" si="0"/>
        <v>7837.5</v>
      </c>
      <c r="J27" s="9">
        <v>30</v>
      </c>
      <c r="K27" s="10">
        <v>42618</v>
      </c>
      <c r="L27" s="10">
        <v>42626</v>
      </c>
    </row>
    <row r="28" spans="1:12" ht="15" thickTop="1" thickBot="1" x14ac:dyDescent="0.2">
      <c r="A28" s="12">
        <v>10027</v>
      </c>
      <c r="B28" s="18" t="s">
        <v>9</v>
      </c>
      <c r="C28" s="19">
        <v>7</v>
      </c>
      <c r="D28" s="19">
        <v>7258</v>
      </c>
      <c r="E28" s="20" t="s">
        <v>18</v>
      </c>
      <c r="F28" s="20" t="s">
        <v>52</v>
      </c>
      <c r="G28" s="21">
        <v>100.5</v>
      </c>
      <c r="H28" s="22">
        <v>120</v>
      </c>
      <c r="I28" s="21">
        <f t="shared" si="0"/>
        <v>12060</v>
      </c>
      <c r="J28" s="23">
        <v>30</v>
      </c>
      <c r="K28" s="24">
        <v>42618</v>
      </c>
      <c r="L28" s="24">
        <v>42622</v>
      </c>
    </row>
    <row r="29" spans="1:12" ht="15" thickTop="1" thickBot="1" x14ac:dyDescent="0.2">
      <c r="A29" s="12">
        <v>10028</v>
      </c>
      <c r="B29" s="4" t="s">
        <v>6</v>
      </c>
      <c r="C29" s="5">
        <v>1</v>
      </c>
      <c r="D29" s="5">
        <v>1122</v>
      </c>
      <c r="E29" s="6" t="s">
        <v>3</v>
      </c>
      <c r="F29" s="6" t="s">
        <v>26</v>
      </c>
      <c r="G29" s="7">
        <v>4.25</v>
      </c>
      <c r="H29" s="8">
        <v>15000</v>
      </c>
      <c r="I29" s="7">
        <f t="shared" si="0"/>
        <v>63750</v>
      </c>
      <c r="J29" s="9">
        <v>30</v>
      </c>
      <c r="K29" s="10">
        <v>42621</v>
      </c>
      <c r="L29" s="10">
        <v>42628</v>
      </c>
    </row>
    <row r="30" spans="1:12" ht="15" thickTop="1" thickBot="1" x14ac:dyDescent="0.2">
      <c r="A30" s="12">
        <v>10029</v>
      </c>
      <c r="B30" s="18" t="s">
        <v>6</v>
      </c>
      <c r="C30" s="19">
        <v>1</v>
      </c>
      <c r="D30" s="19">
        <v>3166</v>
      </c>
      <c r="E30" s="20" t="s">
        <v>13</v>
      </c>
      <c r="F30" s="20" t="s">
        <v>36</v>
      </c>
      <c r="G30" s="21">
        <v>1.25</v>
      </c>
      <c r="H30" s="22">
        <v>5425</v>
      </c>
      <c r="I30" s="21">
        <f t="shared" si="0"/>
        <v>6781.25</v>
      </c>
      <c r="J30" s="23">
        <v>30</v>
      </c>
      <c r="K30" s="24">
        <v>42623</v>
      </c>
      <c r="L30" s="24">
        <v>42628</v>
      </c>
    </row>
    <row r="31" spans="1:12" ht="15" thickTop="1" thickBot="1" x14ac:dyDescent="0.2">
      <c r="A31" s="12">
        <v>10030</v>
      </c>
      <c r="B31" s="4" t="s">
        <v>0</v>
      </c>
      <c r="C31" s="5">
        <v>2</v>
      </c>
      <c r="D31" s="5">
        <v>4111</v>
      </c>
      <c r="E31" s="6" t="s">
        <v>4</v>
      </c>
      <c r="F31" s="6" t="s">
        <v>30</v>
      </c>
      <c r="G31" s="7">
        <v>3.55</v>
      </c>
      <c r="H31" s="8">
        <v>4585</v>
      </c>
      <c r="I31" s="7">
        <f t="shared" si="0"/>
        <v>16276.75</v>
      </c>
      <c r="J31" s="9">
        <v>25</v>
      </c>
      <c r="K31" s="10">
        <v>42623</v>
      </c>
      <c r="L31" s="10">
        <v>42643</v>
      </c>
    </row>
    <row r="32" spans="1:12" ht="15" thickTop="1" thickBot="1" x14ac:dyDescent="0.2">
      <c r="A32" s="12">
        <v>10031</v>
      </c>
      <c r="B32" s="18" t="s">
        <v>2</v>
      </c>
      <c r="C32" s="19">
        <v>4</v>
      </c>
      <c r="D32" s="19">
        <v>6321</v>
      </c>
      <c r="E32" s="20" t="s">
        <v>20</v>
      </c>
      <c r="F32" s="20" t="s">
        <v>46</v>
      </c>
      <c r="G32" s="21">
        <v>2.4500000000000002</v>
      </c>
      <c r="H32" s="22">
        <v>1200</v>
      </c>
      <c r="I32" s="21">
        <f t="shared" si="0"/>
        <v>2940</v>
      </c>
      <c r="J32" s="23">
        <v>30</v>
      </c>
      <c r="K32" s="24">
        <v>42625</v>
      </c>
      <c r="L32" s="24">
        <v>42636</v>
      </c>
    </row>
    <row r="33" spans="1:12" ht="15" thickTop="1" thickBot="1" x14ac:dyDescent="0.2">
      <c r="A33" s="12">
        <v>10032</v>
      </c>
      <c r="B33" s="4" t="s">
        <v>0</v>
      </c>
      <c r="C33" s="5">
        <v>2</v>
      </c>
      <c r="D33" s="5">
        <v>4111</v>
      </c>
      <c r="E33" s="6" t="s">
        <v>4</v>
      </c>
      <c r="F33" s="6" t="s">
        <v>30</v>
      </c>
      <c r="G33" s="7">
        <v>3.55</v>
      </c>
      <c r="H33" s="8">
        <v>4200</v>
      </c>
      <c r="I33" s="7">
        <f t="shared" si="0"/>
        <v>14910</v>
      </c>
      <c r="J33" s="9">
        <v>25</v>
      </c>
      <c r="K33" s="10">
        <v>42628</v>
      </c>
      <c r="L33" s="10">
        <v>42658</v>
      </c>
    </row>
    <row r="34" spans="1:12" ht="15" thickTop="1" thickBot="1" x14ac:dyDescent="0.2">
      <c r="A34" s="12">
        <v>10033</v>
      </c>
      <c r="B34" s="4" t="s">
        <v>6</v>
      </c>
      <c r="C34" s="5">
        <v>1</v>
      </c>
      <c r="D34" s="5">
        <v>5066</v>
      </c>
      <c r="E34" s="6" t="s">
        <v>19</v>
      </c>
      <c r="F34" s="6" t="s">
        <v>56</v>
      </c>
      <c r="G34" s="7">
        <v>0.95</v>
      </c>
      <c r="H34" s="8">
        <v>17500</v>
      </c>
      <c r="I34" s="7">
        <f t="shared" ref="I34:I65" si="1">G34*H34</f>
        <v>16625</v>
      </c>
      <c r="J34" s="9">
        <v>30</v>
      </c>
      <c r="K34" s="10">
        <v>42628</v>
      </c>
      <c r="L34" s="10">
        <v>42635</v>
      </c>
    </row>
    <row r="35" spans="1:12" ht="15" thickTop="1" thickBot="1" x14ac:dyDescent="0.2">
      <c r="A35" s="12">
        <v>10034</v>
      </c>
      <c r="B35" s="18" t="s">
        <v>8</v>
      </c>
      <c r="C35" s="19">
        <v>6</v>
      </c>
      <c r="D35" s="19">
        <v>5319</v>
      </c>
      <c r="E35" s="20" t="s">
        <v>19</v>
      </c>
      <c r="F35" s="20" t="s">
        <v>55</v>
      </c>
      <c r="G35" s="21">
        <v>1.1000000000000001</v>
      </c>
      <c r="H35" s="22">
        <v>16500</v>
      </c>
      <c r="I35" s="21">
        <f t="shared" si="1"/>
        <v>18150</v>
      </c>
      <c r="J35" s="23">
        <v>30</v>
      </c>
      <c r="K35" s="24">
        <v>42628</v>
      </c>
      <c r="L35" s="24">
        <v>42648</v>
      </c>
    </row>
    <row r="36" spans="1:12" ht="15" thickTop="1" thickBot="1" x14ac:dyDescent="0.2">
      <c r="A36" s="12">
        <v>10035</v>
      </c>
      <c r="B36" s="4" t="s">
        <v>0</v>
      </c>
      <c r="C36" s="5">
        <v>2</v>
      </c>
      <c r="D36" s="5">
        <v>4111</v>
      </c>
      <c r="E36" s="6" t="s">
        <v>4</v>
      </c>
      <c r="F36" s="6" t="s">
        <v>30</v>
      </c>
      <c r="G36" s="7">
        <v>3.55</v>
      </c>
      <c r="H36" s="8">
        <v>4250</v>
      </c>
      <c r="I36" s="7">
        <f t="shared" si="1"/>
        <v>15087.5</v>
      </c>
      <c r="J36" s="9">
        <v>25</v>
      </c>
      <c r="K36" s="10">
        <v>42633</v>
      </c>
      <c r="L36" s="10">
        <v>42653</v>
      </c>
    </row>
    <row r="37" spans="1:12" ht="15" thickTop="1" thickBot="1" x14ac:dyDescent="0.2">
      <c r="A37" s="12">
        <v>10036</v>
      </c>
      <c r="B37" s="4" t="s">
        <v>0</v>
      </c>
      <c r="C37" s="5">
        <v>2</v>
      </c>
      <c r="D37" s="5">
        <v>9752</v>
      </c>
      <c r="E37" s="6" t="s">
        <v>5</v>
      </c>
      <c r="F37" s="6" t="s">
        <v>39</v>
      </c>
      <c r="G37" s="7">
        <v>4.05</v>
      </c>
      <c r="H37" s="8">
        <v>1500</v>
      </c>
      <c r="I37" s="7">
        <f t="shared" si="1"/>
        <v>6075</v>
      </c>
      <c r="J37" s="9">
        <v>25</v>
      </c>
      <c r="K37" s="10">
        <v>42633</v>
      </c>
      <c r="L37" s="10">
        <v>42638</v>
      </c>
    </row>
    <row r="38" spans="1:12" ht="15" thickTop="1" thickBot="1" x14ac:dyDescent="0.2">
      <c r="A38" s="12">
        <v>10037</v>
      </c>
      <c r="B38" s="18" t="s">
        <v>10</v>
      </c>
      <c r="C38" s="19">
        <v>8</v>
      </c>
      <c r="D38" s="19">
        <v>9764</v>
      </c>
      <c r="E38" s="20" t="s">
        <v>5</v>
      </c>
      <c r="F38" s="20" t="s">
        <v>40</v>
      </c>
      <c r="G38" s="21">
        <v>3.75</v>
      </c>
      <c r="H38" s="22">
        <v>1980</v>
      </c>
      <c r="I38" s="21">
        <f t="shared" si="1"/>
        <v>7425</v>
      </c>
      <c r="J38" s="19">
        <v>15</v>
      </c>
      <c r="K38" s="24">
        <v>42633</v>
      </c>
      <c r="L38" s="24">
        <v>42642</v>
      </c>
    </row>
    <row r="39" spans="1:12" ht="15" thickTop="1" thickBot="1" x14ac:dyDescent="0.2">
      <c r="A39" s="12">
        <v>10038</v>
      </c>
      <c r="B39" s="18" t="s">
        <v>10</v>
      </c>
      <c r="C39" s="19">
        <v>8</v>
      </c>
      <c r="D39" s="19">
        <v>9764</v>
      </c>
      <c r="E39" s="20" t="s">
        <v>5</v>
      </c>
      <c r="F39" s="20" t="s">
        <v>40</v>
      </c>
      <c r="G39" s="21">
        <v>3.75</v>
      </c>
      <c r="H39" s="22">
        <v>1750</v>
      </c>
      <c r="I39" s="21">
        <f t="shared" si="1"/>
        <v>6562.5</v>
      </c>
      <c r="J39" s="19">
        <v>15</v>
      </c>
      <c r="K39" s="24">
        <v>42633</v>
      </c>
      <c r="L39" s="24">
        <v>42638</v>
      </c>
    </row>
    <row r="40" spans="1:12" ht="15" thickTop="1" thickBot="1" x14ac:dyDescent="0.2">
      <c r="A40" s="12">
        <v>10039</v>
      </c>
      <c r="B40" s="25" t="s">
        <v>1</v>
      </c>
      <c r="C40" s="19">
        <v>3</v>
      </c>
      <c r="D40" s="19">
        <v>1369</v>
      </c>
      <c r="E40" s="20" t="s">
        <v>3</v>
      </c>
      <c r="F40" s="20" t="s">
        <v>28</v>
      </c>
      <c r="G40" s="21">
        <v>4.2</v>
      </c>
      <c r="H40" s="22">
        <v>15000</v>
      </c>
      <c r="I40" s="21">
        <f t="shared" si="1"/>
        <v>63000</v>
      </c>
      <c r="J40" s="19">
        <v>45</v>
      </c>
      <c r="K40" s="24">
        <v>42638</v>
      </c>
      <c r="L40" s="24">
        <v>42643</v>
      </c>
    </row>
    <row r="41" spans="1:12" ht="15" thickTop="1" thickBot="1" x14ac:dyDescent="0.2">
      <c r="A41" s="12">
        <v>10040</v>
      </c>
      <c r="B41" s="4" t="s">
        <v>0</v>
      </c>
      <c r="C41" s="5">
        <v>2</v>
      </c>
      <c r="D41" s="5">
        <v>4111</v>
      </c>
      <c r="E41" s="6" t="s">
        <v>4</v>
      </c>
      <c r="F41" s="6" t="s">
        <v>30</v>
      </c>
      <c r="G41" s="7">
        <v>3.55</v>
      </c>
      <c r="H41" s="8">
        <v>4200</v>
      </c>
      <c r="I41" s="7">
        <f t="shared" si="1"/>
        <v>14910</v>
      </c>
      <c r="J41" s="9">
        <v>25</v>
      </c>
      <c r="K41" s="10">
        <v>42638</v>
      </c>
      <c r="L41" s="10">
        <v>42668</v>
      </c>
    </row>
    <row r="42" spans="1:12" ht="15" thickTop="1" thickBot="1" x14ac:dyDescent="0.2">
      <c r="A42" s="12">
        <v>10041</v>
      </c>
      <c r="B42" s="18" t="s">
        <v>2</v>
      </c>
      <c r="C42" s="19">
        <v>4</v>
      </c>
      <c r="D42" s="19">
        <v>6321</v>
      </c>
      <c r="E42" s="20" t="s">
        <v>20</v>
      </c>
      <c r="F42" s="20" t="s">
        <v>46</v>
      </c>
      <c r="G42" s="21">
        <v>2.4500000000000002</v>
      </c>
      <c r="H42" s="22">
        <v>2500</v>
      </c>
      <c r="I42" s="21">
        <f t="shared" si="1"/>
        <v>6125</v>
      </c>
      <c r="J42" s="23">
        <v>30</v>
      </c>
      <c r="K42" s="24">
        <v>42638</v>
      </c>
      <c r="L42" s="24">
        <v>42647</v>
      </c>
    </row>
    <row r="43" spans="1:12" ht="15" thickTop="1" thickBot="1" x14ac:dyDescent="0.2">
      <c r="A43" s="12">
        <v>10042</v>
      </c>
      <c r="B43" s="4" t="s">
        <v>9</v>
      </c>
      <c r="C43" s="5">
        <v>7</v>
      </c>
      <c r="D43" s="5">
        <v>6431</v>
      </c>
      <c r="E43" s="6" t="s">
        <v>20</v>
      </c>
      <c r="F43" s="6" t="s">
        <v>47</v>
      </c>
      <c r="G43" s="7">
        <v>2.85</v>
      </c>
      <c r="H43" s="8">
        <v>1300</v>
      </c>
      <c r="I43" s="7">
        <f t="shared" si="1"/>
        <v>3705</v>
      </c>
      <c r="J43" s="9">
        <v>30</v>
      </c>
      <c r="K43" s="10">
        <v>42638</v>
      </c>
      <c r="L43" s="10">
        <v>42644</v>
      </c>
    </row>
    <row r="44" spans="1:12" ht="15" thickTop="1" thickBot="1" x14ac:dyDescent="0.2">
      <c r="A44" s="12">
        <v>10043</v>
      </c>
      <c r="B44" s="18" t="s">
        <v>0</v>
      </c>
      <c r="C44" s="19">
        <v>2</v>
      </c>
      <c r="D44" s="19">
        <v>9752</v>
      </c>
      <c r="E44" s="20" t="s">
        <v>5</v>
      </c>
      <c r="F44" s="20" t="s">
        <v>39</v>
      </c>
      <c r="G44" s="21">
        <v>4.05</v>
      </c>
      <c r="H44" s="22">
        <v>1550</v>
      </c>
      <c r="I44" s="21">
        <f t="shared" si="1"/>
        <v>6277.5</v>
      </c>
      <c r="J44" s="23">
        <v>25</v>
      </c>
      <c r="K44" s="24">
        <v>42638</v>
      </c>
      <c r="L44" s="24">
        <v>42648</v>
      </c>
    </row>
    <row r="45" spans="1:12" ht="15" thickTop="1" thickBot="1" x14ac:dyDescent="0.2">
      <c r="A45" s="12">
        <v>10044</v>
      </c>
      <c r="B45" s="4" t="s">
        <v>10</v>
      </c>
      <c r="C45" s="5">
        <v>8</v>
      </c>
      <c r="D45" s="5">
        <v>9764</v>
      </c>
      <c r="E45" s="6" t="s">
        <v>5</v>
      </c>
      <c r="F45" s="6" t="s">
        <v>40</v>
      </c>
      <c r="G45" s="7">
        <v>3.75</v>
      </c>
      <c r="H45" s="8">
        <v>1850</v>
      </c>
      <c r="I45" s="7">
        <f t="shared" si="1"/>
        <v>6937.5</v>
      </c>
      <c r="J45" s="5">
        <v>15</v>
      </c>
      <c r="K45" s="10">
        <v>42638</v>
      </c>
      <c r="L45" s="10">
        <v>42648</v>
      </c>
    </row>
    <row r="46" spans="1:12" ht="15" thickTop="1" thickBot="1" x14ac:dyDescent="0.2">
      <c r="A46" s="12">
        <v>10045</v>
      </c>
      <c r="B46" s="25" t="s">
        <v>1</v>
      </c>
      <c r="C46" s="19">
        <v>3</v>
      </c>
      <c r="D46" s="19">
        <v>1369</v>
      </c>
      <c r="E46" s="20" t="s">
        <v>3</v>
      </c>
      <c r="F46" s="20" t="s">
        <v>28</v>
      </c>
      <c r="G46" s="21">
        <v>4.2</v>
      </c>
      <c r="H46" s="22">
        <v>14000</v>
      </c>
      <c r="I46" s="21">
        <f t="shared" si="1"/>
        <v>58800</v>
      </c>
      <c r="J46" s="19">
        <v>45</v>
      </c>
      <c r="K46" s="24">
        <v>42640</v>
      </c>
      <c r="L46" s="24">
        <v>42646</v>
      </c>
    </row>
    <row r="47" spans="1:12" ht="15" thickTop="1" thickBot="1" x14ac:dyDescent="0.2">
      <c r="A47" s="12">
        <v>10046</v>
      </c>
      <c r="B47" s="4" t="s">
        <v>6</v>
      </c>
      <c r="C47" s="5">
        <v>1</v>
      </c>
      <c r="D47" s="5">
        <v>1122</v>
      </c>
      <c r="E47" s="6" t="s">
        <v>3</v>
      </c>
      <c r="F47" s="6" t="s">
        <v>26</v>
      </c>
      <c r="G47" s="7">
        <v>4.25</v>
      </c>
      <c r="H47" s="8">
        <v>14500</v>
      </c>
      <c r="I47" s="7">
        <f t="shared" si="1"/>
        <v>61625</v>
      </c>
      <c r="J47" s="9">
        <v>30</v>
      </c>
      <c r="K47" s="10">
        <v>42641</v>
      </c>
      <c r="L47" s="10">
        <v>42646</v>
      </c>
    </row>
    <row r="48" spans="1:12" ht="15" thickTop="1" thickBot="1" x14ac:dyDescent="0.2">
      <c r="A48" s="12">
        <v>10047</v>
      </c>
      <c r="B48" s="18" t="s">
        <v>10</v>
      </c>
      <c r="C48" s="19">
        <v>8</v>
      </c>
      <c r="D48" s="19">
        <v>9764</v>
      </c>
      <c r="E48" s="20" t="s">
        <v>5</v>
      </c>
      <c r="F48" s="20" t="s">
        <v>40</v>
      </c>
      <c r="G48" s="21">
        <v>3.75</v>
      </c>
      <c r="H48" s="22">
        <v>1800</v>
      </c>
      <c r="I48" s="21">
        <f t="shared" si="1"/>
        <v>6750</v>
      </c>
      <c r="J48" s="19">
        <v>15</v>
      </c>
      <c r="K48" s="24">
        <v>42641</v>
      </c>
      <c r="L48" s="24">
        <v>42648</v>
      </c>
    </row>
    <row r="49" spans="1:12" ht="15" thickTop="1" thickBot="1" x14ac:dyDescent="0.2">
      <c r="A49" s="12">
        <v>10048</v>
      </c>
      <c r="B49" s="26" t="s">
        <v>1</v>
      </c>
      <c r="C49" s="5">
        <v>3</v>
      </c>
      <c r="D49" s="5">
        <v>1369</v>
      </c>
      <c r="E49" s="6" t="s">
        <v>3</v>
      </c>
      <c r="F49" s="6" t="s">
        <v>28</v>
      </c>
      <c r="G49" s="7">
        <v>4.2</v>
      </c>
      <c r="H49" s="8">
        <v>10000</v>
      </c>
      <c r="I49" s="7">
        <f t="shared" si="1"/>
        <v>42000</v>
      </c>
      <c r="J49" s="5">
        <v>45</v>
      </c>
      <c r="K49" s="10">
        <v>42642</v>
      </c>
      <c r="L49" s="10">
        <v>42647</v>
      </c>
    </row>
    <row r="50" spans="1:12" ht="15" thickTop="1" thickBot="1" x14ac:dyDescent="0.2">
      <c r="A50" s="12">
        <v>10049</v>
      </c>
      <c r="B50" s="4" t="s">
        <v>6</v>
      </c>
      <c r="C50" s="5">
        <v>1</v>
      </c>
      <c r="D50" s="5">
        <v>1122</v>
      </c>
      <c r="E50" s="6" t="s">
        <v>3</v>
      </c>
      <c r="F50" s="6" t="s">
        <v>26</v>
      </c>
      <c r="G50" s="7">
        <v>4.25</v>
      </c>
      <c r="H50" s="8">
        <v>18000</v>
      </c>
      <c r="I50" s="7">
        <f t="shared" si="1"/>
        <v>76500</v>
      </c>
      <c r="J50" s="9">
        <v>30</v>
      </c>
      <c r="K50" s="10">
        <v>42644</v>
      </c>
      <c r="L50" s="10">
        <v>42651</v>
      </c>
    </row>
    <row r="51" spans="1:12" ht="15" thickTop="1" thickBot="1" x14ac:dyDescent="0.2">
      <c r="A51" s="12">
        <v>10050</v>
      </c>
      <c r="B51" s="4" t="s">
        <v>0</v>
      </c>
      <c r="C51" s="5">
        <v>2</v>
      </c>
      <c r="D51" s="5">
        <v>5125</v>
      </c>
      <c r="E51" s="6" t="s">
        <v>19</v>
      </c>
      <c r="F51" s="6" t="s">
        <v>57</v>
      </c>
      <c r="G51" s="7">
        <v>1.1499999999999999</v>
      </c>
      <c r="H51" s="8">
        <v>15000</v>
      </c>
      <c r="I51" s="7">
        <f t="shared" si="1"/>
        <v>17250</v>
      </c>
      <c r="J51" s="9">
        <v>25</v>
      </c>
      <c r="K51" s="10">
        <v>42644</v>
      </c>
      <c r="L51" s="10">
        <v>42658</v>
      </c>
    </row>
    <row r="52" spans="1:12" ht="15" thickTop="1" thickBot="1" x14ac:dyDescent="0.2">
      <c r="A52" s="12">
        <v>10051</v>
      </c>
      <c r="B52" s="4" t="s">
        <v>2</v>
      </c>
      <c r="C52" s="5">
        <v>4</v>
      </c>
      <c r="D52" s="5">
        <v>5166</v>
      </c>
      <c r="E52" s="6" t="s">
        <v>13</v>
      </c>
      <c r="F52" s="6" t="s">
        <v>38</v>
      </c>
      <c r="G52" s="7">
        <v>1.25</v>
      </c>
      <c r="H52" s="8">
        <v>5650</v>
      </c>
      <c r="I52" s="7">
        <f t="shared" si="1"/>
        <v>7062.5</v>
      </c>
      <c r="J52" s="9">
        <v>30</v>
      </c>
      <c r="K52" s="10">
        <v>42644</v>
      </c>
      <c r="L52" s="10">
        <v>42649</v>
      </c>
    </row>
    <row r="53" spans="1:12" ht="15" thickTop="1" thickBot="1" x14ac:dyDescent="0.2">
      <c r="A53" s="12">
        <v>10052</v>
      </c>
      <c r="B53" s="18" t="s">
        <v>9</v>
      </c>
      <c r="C53" s="19">
        <v>7</v>
      </c>
      <c r="D53" s="19">
        <v>6431</v>
      </c>
      <c r="E53" s="20" t="s">
        <v>20</v>
      </c>
      <c r="F53" s="20" t="s">
        <v>47</v>
      </c>
      <c r="G53" s="21">
        <v>2.85</v>
      </c>
      <c r="H53" s="22">
        <v>1350</v>
      </c>
      <c r="I53" s="21">
        <f t="shared" si="1"/>
        <v>3847.5</v>
      </c>
      <c r="J53" s="23">
        <v>30</v>
      </c>
      <c r="K53" s="24">
        <v>42644</v>
      </c>
      <c r="L53" s="24">
        <v>42650</v>
      </c>
    </row>
    <row r="54" spans="1:12" ht="15" thickTop="1" thickBot="1" x14ac:dyDescent="0.2">
      <c r="A54" s="12">
        <v>10053</v>
      </c>
      <c r="B54" s="18" t="s">
        <v>10</v>
      </c>
      <c r="C54" s="19">
        <v>8</v>
      </c>
      <c r="D54" s="19">
        <v>6433</v>
      </c>
      <c r="E54" s="20" t="s">
        <v>20</v>
      </c>
      <c r="F54" s="20" t="s">
        <v>48</v>
      </c>
      <c r="G54" s="21">
        <v>2.95</v>
      </c>
      <c r="H54" s="22">
        <v>1500</v>
      </c>
      <c r="I54" s="21">
        <f t="shared" si="1"/>
        <v>4425</v>
      </c>
      <c r="J54" s="19">
        <v>15</v>
      </c>
      <c r="K54" s="24">
        <v>42644</v>
      </c>
      <c r="L54" s="24">
        <v>42653</v>
      </c>
    </row>
    <row r="55" spans="1:12" ht="15" thickTop="1" thickBot="1" x14ac:dyDescent="0.2">
      <c r="A55" s="12">
        <v>10054</v>
      </c>
      <c r="B55" s="18" t="s">
        <v>1</v>
      </c>
      <c r="C55" s="19">
        <v>3</v>
      </c>
      <c r="D55" s="19">
        <v>9399</v>
      </c>
      <c r="E55" s="20" t="s">
        <v>5</v>
      </c>
      <c r="F55" s="20" t="s">
        <v>41</v>
      </c>
      <c r="G55" s="21">
        <v>3.65</v>
      </c>
      <c r="H55" s="22">
        <v>1250</v>
      </c>
      <c r="I55" s="21">
        <f t="shared" si="1"/>
        <v>4562.5</v>
      </c>
      <c r="J55" s="19">
        <v>45</v>
      </c>
      <c r="K55" s="24">
        <v>42644</v>
      </c>
      <c r="L55" s="24">
        <v>42649</v>
      </c>
    </row>
    <row r="56" spans="1:12" ht="15" thickTop="1" thickBot="1" x14ac:dyDescent="0.2">
      <c r="A56" s="12">
        <v>10055</v>
      </c>
      <c r="B56" s="18" t="s">
        <v>1</v>
      </c>
      <c r="C56" s="19">
        <v>3</v>
      </c>
      <c r="D56" s="19">
        <v>9399</v>
      </c>
      <c r="E56" s="20" t="s">
        <v>5</v>
      </c>
      <c r="F56" s="20" t="s">
        <v>41</v>
      </c>
      <c r="G56" s="21">
        <v>3.65</v>
      </c>
      <c r="H56" s="22">
        <v>1450</v>
      </c>
      <c r="I56" s="21">
        <f t="shared" si="1"/>
        <v>5292.5</v>
      </c>
      <c r="J56" s="19">
        <v>45</v>
      </c>
      <c r="K56" s="24">
        <v>42646</v>
      </c>
      <c r="L56" s="24">
        <v>42651</v>
      </c>
    </row>
    <row r="57" spans="1:12" ht="15" thickTop="1" thickBot="1" x14ac:dyDescent="0.2">
      <c r="A57" s="12">
        <v>10056</v>
      </c>
      <c r="B57" s="4" t="s">
        <v>0</v>
      </c>
      <c r="C57" s="5">
        <v>2</v>
      </c>
      <c r="D57" s="5">
        <v>4111</v>
      </c>
      <c r="E57" s="6" t="s">
        <v>4</v>
      </c>
      <c r="F57" s="6" t="s">
        <v>30</v>
      </c>
      <c r="G57" s="7">
        <v>3.55</v>
      </c>
      <c r="H57" s="8">
        <v>4600</v>
      </c>
      <c r="I57" s="7">
        <f t="shared" si="1"/>
        <v>16330</v>
      </c>
      <c r="J57" s="9">
        <v>25</v>
      </c>
      <c r="K57" s="10">
        <v>42648</v>
      </c>
      <c r="L57" s="10">
        <v>42662</v>
      </c>
    </row>
    <row r="58" spans="1:12" ht="15" thickTop="1" thickBot="1" x14ac:dyDescent="0.2">
      <c r="A58" s="12">
        <v>10057</v>
      </c>
      <c r="B58" s="26" t="s">
        <v>1</v>
      </c>
      <c r="C58" s="5">
        <v>3</v>
      </c>
      <c r="D58" s="5">
        <v>4569</v>
      </c>
      <c r="E58" s="6" t="s">
        <v>4</v>
      </c>
      <c r="F58" s="6" t="s">
        <v>31</v>
      </c>
      <c r="G58" s="7">
        <v>3.5</v>
      </c>
      <c r="H58" s="8">
        <v>3900</v>
      </c>
      <c r="I58" s="7">
        <f t="shared" si="1"/>
        <v>13650</v>
      </c>
      <c r="J58" s="5">
        <v>45</v>
      </c>
      <c r="K58" s="10">
        <v>42648</v>
      </c>
      <c r="L58" s="10">
        <v>42653</v>
      </c>
    </row>
    <row r="59" spans="1:12" ht="15" thickTop="1" thickBot="1" x14ac:dyDescent="0.2">
      <c r="A59" s="12">
        <v>10058</v>
      </c>
      <c r="B59" s="18" t="s">
        <v>9</v>
      </c>
      <c r="C59" s="19">
        <v>7</v>
      </c>
      <c r="D59" s="19">
        <v>6431</v>
      </c>
      <c r="E59" s="20" t="s">
        <v>20</v>
      </c>
      <c r="F59" s="20" t="s">
        <v>47</v>
      </c>
      <c r="G59" s="21">
        <v>2.85</v>
      </c>
      <c r="H59" s="22">
        <v>1250</v>
      </c>
      <c r="I59" s="21">
        <f t="shared" si="1"/>
        <v>3562.5</v>
      </c>
      <c r="J59" s="23">
        <v>30</v>
      </c>
      <c r="K59" s="24">
        <v>42648</v>
      </c>
      <c r="L59" s="24">
        <v>42653</v>
      </c>
    </row>
    <row r="60" spans="1:12" ht="15" thickTop="1" thickBot="1" x14ac:dyDescent="0.2">
      <c r="A60" s="12">
        <v>10059</v>
      </c>
      <c r="B60" s="4" t="s">
        <v>0</v>
      </c>
      <c r="C60" s="5">
        <v>2</v>
      </c>
      <c r="D60" s="5">
        <v>6489</v>
      </c>
      <c r="E60" s="6" t="s">
        <v>20</v>
      </c>
      <c r="F60" s="6" t="s">
        <v>49</v>
      </c>
      <c r="G60" s="7">
        <v>3</v>
      </c>
      <c r="H60" s="8">
        <v>1100</v>
      </c>
      <c r="I60" s="7">
        <f t="shared" si="1"/>
        <v>3300</v>
      </c>
      <c r="J60" s="9">
        <v>25</v>
      </c>
      <c r="K60" s="10">
        <v>42648</v>
      </c>
      <c r="L60" s="10">
        <v>42653</v>
      </c>
    </row>
    <row r="61" spans="1:12" ht="15" thickTop="1" thickBot="1" x14ac:dyDescent="0.2">
      <c r="A61" s="12">
        <v>10060</v>
      </c>
      <c r="B61" s="18" t="s">
        <v>1</v>
      </c>
      <c r="C61" s="19">
        <v>3</v>
      </c>
      <c r="D61" s="19">
        <v>9399</v>
      </c>
      <c r="E61" s="20" t="s">
        <v>5</v>
      </c>
      <c r="F61" s="20" t="s">
        <v>41</v>
      </c>
      <c r="G61" s="21">
        <v>3.65</v>
      </c>
      <c r="H61" s="22">
        <v>1985</v>
      </c>
      <c r="I61" s="21">
        <f t="shared" si="1"/>
        <v>7245.25</v>
      </c>
      <c r="J61" s="19">
        <v>45</v>
      </c>
      <c r="K61" s="24">
        <v>42648</v>
      </c>
      <c r="L61" s="24">
        <v>42654</v>
      </c>
    </row>
    <row r="62" spans="1:12" ht="15" thickTop="1" thickBot="1" x14ac:dyDescent="0.2">
      <c r="A62" s="12">
        <v>10061</v>
      </c>
      <c r="B62" s="18" t="s">
        <v>1</v>
      </c>
      <c r="C62" s="19">
        <v>3</v>
      </c>
      <c r="D62" s="19">
        <v>9399</v>
      </c>
      <c r="E62" s="20" t="s">
        <v>5</v>
      </c>
      <c r="F62" s="20" t="s">
        <v>41</v>
      </c>
      <c r="G62" s="21">
        <v>3.65</v>
      </c>
      <c r="H62" s="22">
        <v>1470</v>
      </c>
      <c r="I62" s="21">
        <f t="shared" si="1"/>
        <v>5365.5</v>
      </c>
      <c r="J62" s="19">
        <v>45</v>
      </c>
      <c r="K62" s="24">
        <v>42650</v>
      </c>
      <c r="L62" s="24">
        <v>42655</v>
      </c>
    </row>
    <row r="63" spans="1:12" ht="15" thickTop="1" thickBot="1" x14ac:dyDescent="0.2">
      <c r="A63" s="12">
        <v>10062</v>
      </c>
      <c r="B63" s="26" t="s">
        <v>1</v>
      </c>
      <c r="C63" s="5">
        <v>3</v>
      </c>
      <c r="D63" s="5">
        <v>5454</v>
      </c>
      <c r="E63" s="6" t="s">
        <v>11</v>
      </c>
      <c r="F63" s="6" t="s">
        <v>34</v>
      </c>
      <c r="G63" s="7">
        <v>220</v>
      </c>
      <c r="H63" s="8">
        <v>550</v>
      </c>
      <c r="I63" s="7">
        <f t="shared" si="1"/>
        <v>121000</v>
      </c>
      <c r="J63" s="5">
        <v>45</v>
      </c>
      <c r="K63" s="10">
        <v>42652</v>
      </c>
      <c r="L63" s="10">
        <v>42657</v>
      </c>
    </row>
    <row r="64" spans="1:12" ht="15" thickTop="1" thickBot="1" x14ac:dyDescent="0.2">
      <c r="A64" s="12">
        <v>10063</v>
      </c>
      <c r="B64" s="18" t="s">
        <v>7</v>
      </c>
      <c r="C64" s="19">
        <v>5</v>
      </c>
      <c r="D64" s="19">
        <v>1243</v>
      </c>
      <c r="E64" s="20" t="s">
        <v>3</v>
      </c>
      <c r="F64" s="20" t="s">
        <v>27</v>
      </c>
      <c r="G64" s="21">
        <v>4.25</v>
      </c>
      <c r="H64" s="22">
        <v>10500</v>
      </c>
      <c r="I64" s="21">
        <f t="shared" si="1"/>
        <v>44625</v>
      </c>
      <c r="J64" s="23">
        <v>30</v>
      </c>
      <c r="K64" s="24">
        <v>42653</v>
      </c>
      <c r="L64" s="24">
        <v>42660</v>
      </c>
    </row>
    <row r="65" spans="1:12" ht="15" thickTop="1" thickBot="1" x14ac:dyDescent="0.2">
      <c r="A65" s="12">
        <v>10064</v>
      </c>
      <c r="B65" s="4" t="s">
        <v>0</v>
      </c>
      <c r="C65" s="5">
        <v>2</v>
      </c>
      <c r="D65" s="5">
        <v>6489</v>
      </c>
      <c r="E65" s="6" t="s">
        <v>20</v>
      </c>
      <c r="F65" s="6" t="s">
        <v>49</v>
      </c>
      <c r="G65" s="7">
        <v>3</v>
      </c>
      <c r="H65" s="8">
        <v>900</v>
      </c>
      <c r="I65" s="7">
        <f t="shared" si="1"/>
        <v>2700</v>
      </c>
      <c r="J65" s="9">
        <v>25</v>
      </c>
      <c r="K65" s="10">
        <v>42653</v>
      </c>
      <c r="L65" s="10">
        <v>42661</v>
      </c>
    </row>
    <row r="66" spans="1:12" ht="15" thickTop="1" thickBot="1" x14ac:dyDescent="0.2">
      <c r="A66" s="12">
        <v>10065</v>
      </c>
      <c r="B66" s="4" t="s">
        <v>9</v>
      </c>
      <c r="C66" s="5">
        <v>7</v>
      </c>
      <c r="D66" s="5">
        <v>7258</v>
      </c>
      <c r="E66" s="6" t="s">
        <v>18</v>
      </c>
      <c r="F66" s="6" t="s">
        <v>52</v>
      </c>
      <c r="G66" s="7">
        <v>100.5</v>
      </c>
      <c r="H66" s="8">
        <v>90</v>
      </c>
      <c r="I66" s="7">
        <f t="shared" ref="I66:I95" si="2">G66*H66</f>
        <v>9045</v>
      </c>
      <c r="J66" s="9">
        <v>30</v>
      </c>
      <c r="K66" s="10">
        <v>42653</v>
      </c>
      <c r="L66" s="10">
        <v>42660</v>
      </c>
    </row>
    <row r="67" spans="1:12" ht="15" thickTop="1" thickBot="1" x14ac:dyDescent="0.2">
      <c r="A67" s="12">
        <v>10066</v>
      </c>
      <c r="B67" s="18" t="s">
        <v>8</v>
      </c>
      <c r="C67" s="19">
        <v>6</v>
      </c>
      <c r="D67" s="19">
        <v>8008</v>
      </c>
      <c r="E67" s="20" t="s">
        <v>17</v>
      </c>
      <c r="F67" s="20" t="s">
        <v>44</v>
      </c>
      <c r="G67" s="21">
        <v>645</v>
      </c>
      <c r="H67" s="22">
        <v>100</v>
      </c>
      <c r="I67" s="21">
        <f t="shared" si="2"/>
        <v>64500</v>
      </c>
      <c r="J67" s="23">
        <v>30</v>
      </c>
      <c r="K67" s="24">
        <v>42653</v>
      </c>
      <c r="L67" s="24">
        <v>42664</v>
      </c>
    </row>
    <row r="68" spans="1:12" ht="15" thickTop="1" thickBot="1" x14ac:dyDescent="0.2">
      <c r="A68" s="12">
        <v>10067</v>
      </c>
      <c r="B68" s="18" t="s">
        <v>9</v>
      </c>
      <c r="C68" s="19">
        <v>7</v>
      </c>
      <c r="D68" s="19">
        <v>8148</v>
      </c>
      <c r="E68" s="20" t="s">
        <v>17</v>
      </c>
      <c r="F68" s="20" t="s">
        <v>45</v>
      </c>
      <c r="G68" s="21">
        <v>655.5</v>
      </c>
      <c r="H68" s="22">
        <v>125</v>
      </c>
      <c r="I68" s="21">
        <f t="shared" si="2"/>
        <v>81937.5</v>
      </c>
      <c r="J68" s="23">
        <v>30</v>
      </c>
      <c r="K68" s="24">
        <v>42653</v>
      </c>
      <c r="L68" s="24">
        <v>42660</v>
      </c>
    </row>
    <row r="69" spans="1:12" ht="15" thickTop="1" thickBot="1" x14ac:dyDescent="0.2">
      <c r="A69" s="12">
        <v>10068</v>
      </c>
      <c r="B69" s="4" t="s">
        <v>6</v>
      </c>
      <c r="C69" s="5">
        <v>1</v>
      </c>
      <c r="D69" s="5">
        <v>1122</v>
      </c>
      <c r="E69" s="6" t="s">
        <v>3</v>
      </c>
      <c r="F69" s="6" t="s">
        <v>26</v>
      </c>
      <c r="G69" s="7">
        <v>4.25</v>
      </c>
      <c r="H69" s="8">
        <v>17000</v>
      </c>
      <c r="I69" s="7">
        <f t="shared" si="2"/>
        <v>72250</v>
      </c>
      <c r="J69" s="9">
        <v>30</v>
      </c>
      <c r="K69" s="10">
        <v>42654</v>
      </c>
      <c r="L69" s="10">
        <v>42662</v>
      </c>
    </row>
    <row r="70" spans="1:12" ht="15" thickTop="1" thickBot="1" x14ac:dyDescent="0.2">
      <c r="A70" s="12">
        <v>10069</v>
      </c>
      <c r="B70" s="18" t="s">
        <v>2</v>
      </c>
      <c r="C70" s="19">
        <v>4</v>
      </c>
      <c r="D70" s="19">
        <v>6321</v>
      </c>
      <c r="E70" s="20" t="s">
        <v>20</v>
      </c>
      <c r="F70" s="20" t="s">
        <v>46</v>
      </c>
      <c r="G70" s="21">
        <v>2.4500000000000002</v>
      </c>
      <c r="H70" s="22">
        <v>1250</v>
      </c>
      <c r="I70" s="21">
        <f t="shared" si="2"/>
        <v>3062.5</v>
      </c>
      <c r="J70" s="23">
        <v>30</v>
      </c>
      <c r="K70" s="24">
        <v>42655</v>
      </c>
      <c r="L70" s="24">
        <v>42664</v>
      </c>
    </row>
    <row r="71" spans="1:12" ht="15" thickTop="1" thickBot="1" x14ac:dyDescent="0.2">
      <c r="A71" s="12">
        <v>10070</v>
      </c>
      <c r="B71" s="4" t="s">
        <v>7</v>
      </c>
      <c r="C71" s="5">
        <v>5</v>
      </c>
      <c r="D71" s="5">
        <v>4224</v>
      </c>
      <c r="E71" s="6" t="s">
        <v>4</v>
      </c>
      <c r="F71" s="6" t="s">
        <v>32</v>
      </c>
      <c r="G71" s="7">
        <v>3.95</v>
      </c>
      <c r="H71" s="8">
        <v>4500</v>
      </c>
      <c r="I71" s="7">
        <f t="shared" si="2"/>
        <v>17775</v>
      </c>
      <c r="J71" s="9">
        <v>30</v>
      </c>
      <c r="K71" s="10">
        <v>42658</v>
      </c>
      <c r="L71" s="10">
        <v>42663</v>
      </c>
    </row>
    <row r="72" spans="1:12" ht="15" thickTop="1" thickBot="1" x14ac:dyDescent="0.2">
      <c r="A72" s="12">
        <v>10071</v>
      </c>
      <c r="B72" s="25" t="s">
        <v>1</v>
      </c>
      <c r="C72" s="19">
        <v>3</v>
      </c>
      <c r="D72" s="19">
        <v>5454</v>
      </c>
      <c r="E72" s="20" t="s">
        <v>11</v>
      </c>
      <c r="F72" s="20" t="s">
        <v>34</v>
      </c>
      <c r="G72" s="21">
        <v>220</v>
      </c>
      <c r="H72" s="22">
        <v>500</v>
      </c>
      <c r="I72" s="21">
        <f t="shared" si="2"/>
        <v>110000</v>
      </c>
      <c r="J72" s="19">
        <v>45</v>
      </c>
      <c r="K72" s="24">
        <v>42658</v>
      </c>
      <c r="L72" s="24">
        <v>42663</v>
      </c>
    </row>
    <row r="73" spans="1:12" ht="15" thickTop="1" thickBot="1" x14ac:dyDescent="0.2">
      <c r="A73" s="12">
        <v>10072</v>
      </c>
      <c r="B73" s="4" t="s">
        <v>9</v>
      </c>
      <c r="C73" s="5">
        <v>7</v>
      </c>
      <c r="D73" s="5">
        <v>7258</v>
      </c>
      <c r="E73" s="6" t="s">
        <v>18</v>
      </c>
      <c r="F73" s="6" t="s">
        <v>52</v>
      </c>
      <c r="G73" s="7">
        <v>100.5</v>
      </c>
      <c r="H73" s="8">
        <v>100</v>
      </c>
      <c r="I73" s="7">
        <f t="shared" si="2"/>
        <v>10050</v>
      </c>
      <c r="J73" s="9">
        <v>30</v>
      </c>
      <c r="K73" s="10">
        <v>42658</v>
      </c>
      <c r="L73" s="10">
        <v>42667</v>
      </c>
    </row>
    <row r="74" spans="1:12" ht="15" thickTop="1" thickBot="1" x14ac:dyDescent="0.2">
      <c r="A74" s="12">
        <v>10073</v>
      </c>
      <c r="B74" s="18" t="s">
        <v>8</v>
      </c>
      <c r="C74" s="19">
        <v>6</v>
      </c>
      <c r="D74" s="19">
        <v>8008</v>
      </c>
      <c r="E74" s="20" t="s">
        <v>17</v>
      </c>
      <c r="F74" s="20" t="s">
        <v>44</v>
      </c>
      <c r="G74" s="21">
        <v>645</v>
      </c>
      <c r="H74" s="22">
        <v>150</v>
      </c>
      <c r="I74" s="21">
        <f t="shared" si="2"/>
        <v>96750</v>
      </c>
      <c r="J74" s="23">
        <v>30</v>
      </c>
      <c r="K74" s="24">
        <v>42658</v>
      </c>
      <c r="L74" s="24">
        <v>42669</v>
      </c>
    </row>
    <row r="75" spans="1:12" ht="15" thickTop="1" thickBot="1" x14ac:dyDescent="0.2">
      <c r="A75" s="12">
        <v>10074</v>
      </c>
      <c r="B75" s="4" t="s">
        <v>7</v>
      </c>
      <c r="C75" s="5">
        <v>5</v>
      </c>
      <c r="D75" s="5">
        <v>5417</v>
      </c>
      <c r="E75" s="6" t="s">
        <v>11</v>
      </c>
      <c r="F75" s="6" t="s">
        <v>33</v>
      </c>
      <c r="G75" s="7">
        <v>255</v>
      </c>
      <c r="H75" s="8">
        <v>500</v>
      </c>
      <c r="I75" s="7">
        <f t="shared" si="2"/>
        <v>127500</v>
      </c>
      <c r="J75" s="9">
        <v>30</v>
      </c>
      <c r="K75" s="10">
        <v>42663</v>
      </c>
      <c r="L75" s="10">
        <v>42670</v>
      </c>
    </row>
    <row r="76" spans="1:12" ht="15" thickTop="1" thickBot="1" x14ac:dyDescent="0.2">
      <c r="A76" s="12">
        <v>10075</v>
      </c>
      <c r="B76" s="18" t="s">
        <v>9</v>
      </c>
      <c r="C76" s="19">
        <v>7</v>
      </c>
      <c r="D76" s="19">
        <v>7258</v>
      </c>
      <c r="E76" s="20" t="s">
        <v>18</v>
      </c>
      <c r="F76" s="20" t="s">
        <v>52</v>
      </c>
      <c r="G76" s="21">
        <v>100.5</v>
      </c>
      <c r="H76" s="22">
        <v>95</v>
      </c>
      <c r="I76" s="21">
        <f t="shared" si="2"/>
        <v>9547.5</v>
      </c>
      <c r="J76" s="23">
        <v>30</v>
      </c>
      <c r="K76" s="24">
        <v>42663</v>
      </c>
      <c r="L76" s="24">
        <v>42672</v>
      </c>
    </row>
    <row r="77" spans="1:12" ht="15" thickTop="1" thickBot="1" x14ac:dyDescent="0.2">
      <c r="A77" s="12">
        <v>10076</v>
      </c>
      <c r="B77" s="4" t="s">
        <v>6</v>
      </c>
      <c r="C77" s="5">
        <v>1</v>
      </c>
      <c r="D77" s="5">
        <v>1122</v>
      </c>
      <c r="E77" s="6" t="s">
        <v>3</v>
      </c>
      <c r="F77" s="6" t="s">
        <v>26</v>
      </c>
      <c r="G77" s="7">
        <v>4.25</v>
      </c>
      <c r="H77" s="8">
        <v>17500</v>
      </c>
      <c r="I77" s="7">
        <f t="shared" si="2"/>
        <v>74375</v>
      </c>
      <c r="J77" s="9">
        <v>30</v>
      </c>
      <c r="K77" s="10">
        <v>42668</v>
      </c>
      <c r="L77" s="10">
        <v>42677</v>
      </c>
    </row>
    <row r="78" spans="1:12" ht="15" thickTop="1" thickBot="1" x14ac:dyDescent="0.2">
      <c r="A78" s="12">
        <v>10077</v>
      </c>
      <c r="B78" s="26" t="s">
        <v>1</v>
      </c>
      <c r="C78" s="5">
        <v>3</v>
      </c>
      <c r="D78" s="5">
        <v>5275</v>
      </c>
      <c r="E78" s="6" t="s">
        <v>19</v>
      </c>
      <c r="F78" s="6" t="s">
        <v>58</v>
      </c>
      <c r="G78" s="7">
        <v>1</v>
      </c>
      <c r="H78" s="8">
        <v>25000</v>
      </c>
      <c r="I78" s="7">
        <f t="shared" si="2"/>
        <v>25000</v>
      </c>
      <c r="J78" s="5">
        <v>45</v>
      </c>
      <c r="K78" s="10">
        <v>42668</v>
      </c>
      <c r="L78" s="10">
        <v>42673</v>
      </c>
    </row>
    <row r="79" spans="1:12" ht="15" thickTop="1" thickBot="1" x14ac:dyDescent="0.2">
      <c r="A79" s="12">
        <v>10078</v>
      </c>
      <c r="B79" s="4" t="s">
        <v>7</v>
      </c>
      <c r="C79" s="5">
        <v>5</v>
      </c>
      <c r="D79" s="5">
        <v>5634</v>
      </c>
      <c r="E79" s="6" t="s">
        <v>12</v>
      </c>
      <c r="F79" s="6" t="s">
        <v>59</v>
      </c>
      <c r="G79" s="7">
        <v>185</v>
      </c>
      <c r="H79" s="8">
        <v>150</v>
      </c>
      <c r="I79" s="7">
        <f t="shared" si="2"/>
        <v>27750</v>
      </c>
      <c r="J79" s="9">
        <v>30</v>
      </c>
      <c r="K79" s="10">
        <v>42668</v>
      </c>
      <c r="L79" s="10">
        <v>42677</v>
      </c>
    </row>
    <row r="80" spans="1:12" ht="15" thickTop="1" thickBot="1" x14ac:dyDescent="0.2">
      <c r="A80" s="12">
        <v>10079</v>
      </c>
      <c r="B80" s="18" t="s">
        <v>2</v>
      </c>
      <c r="C80" s="19">
        <v>4</v>
      </c>
      <c r="D80" s="19">
        <v>5689</v>
      </c>
      <c r="E80" s="20" t="s">
        <v>12</v>
      </c>
      <c r="F80" s="20" t="s">
        <v>60</v>
      </c>
      <c r="G80" s="21">
        <v>175</v>
      </c>
      <c r="H80" s="22">
        <v>155</v>
      </c>
      <c r="I80" s="21">
        <f t="shared" si="2"/>
        <v>27125</v>
      </c>
      <c r="J80" s="23">
        <v>30</v>
      </c>
      <c r="K80" s="24">
        <v>42668</v>
      </c>
      <c r="L80" s="24">
        <v>42677</v>
      </c>
    </row>
    <row r="81" spans="1:12" ht="15" thickTop="1" thickBot="1" x14ac:dyDescent="0.2">
      <c r="A81" s="12">
        <v>10080</v>
      </c>
      <c r="B81" s="18" t="s">
        <v>2</v>
      </c>
      <c r="C81" s="19">
        <v>4</v>
      </c>
      <c r="D81" s="19">
        <v>6321</v>
      </c>
      <c r="E81" s="20" t="s">
        <v>20</v>
      </c>
      <c r="F81" s="20" t="s">
        <v>46</v>
      </c>
      <c r="G81" s="21">
        <v>2.4500000000000002</v>
      </c>
      <c r="H81" s="22">
        <v>1500</v>
      </c>
      <c r="I81" s="21">
        <f t="shared" si="2"/>
        <v>3675.0000000000005</v>
      </c>
      <c r="J81" s="23">
        <v>30</v>
      </c>
      <c r="K81" s="24">
        <v>42668</v>
      </c>
      <c r="L81" s="24">
        <v>42676</v>
      </c>
    </row>
    <row r="82" spans="1:12" ht="15" thickTop="1" thickBot="1" x14ac:dyDescent="0.2">
      <c r="A82" s="12">
        <v>10081</v>
      </c>
      <c r="B82" s="4" t="s">
        <v>8</v>
      </c>
      <c r="C82" s="5">
        <v>6</v>
      </c>
      <c r="D82" s="5">
        <v>5677</v>
      </c>
      <c r="E82" s="6" t="s">
        <v>12</v>
      </c>
      <c r="F82" s="6" t="s">
        <v>61</v>
      </c>
      <c r="G82" s="7">
        <v>195</v>
      </c>
      <c r="H82" s="8">
        <v>130</v>
      </c>
      <c r="I82" s="7">
        <f t="shared" si="2"/>
        <v>25350</v>
      </c>
      <c r="J82" s="9">
        <v>30</v>
      </c>
      <c r="K82" s="10">
        <v>42671</v>
      </c>
      <c r="L82" s="10">
        <v>42681</v>
      </c>
    </row>
    <row r="83" spans="1:12" ht="15" thickTop="1" thickBot="1" x14ac:dyDescent="0.2">
      <c r="A83" s="12">
        <v>10082</v>
      </c>
      <c r="B83" s="18" t="s">
        <v>8</v>
      </c>
      <c r="C83" s="19">
        <v>6</v>
      </c>
      <c r="D83" s="19">
        <v>8008</v>
      </c>
      <c r="E83" s="20" t="s">
        <v>17</v>
      </c>
      <c r="F83" s="20" t="s">
        <v>44</v>
      </c>
      <c r="G83" s="21">
        <v>645</v>
      </c>
      <c r="H83" s="22">
        <v>120</v>
      </c>
      <c r="I83" s="21">
        <f t="shared" si="2"/>
        <v>77400</v>
      </c>
      <c r="J83" s="23">
        <v>30</v>
      </c>
      <c r="K83" s="24">
        <v>42671</v>
      </c>
      <c r="L83" s="24">
        <v>42678</v>
      </c>
    </row>
    <row r="84" spans="1:12" ht="15" thickTop="1" thickBot="1" x14ac:dyDescent="0.2">
      <c r="A84" s="12">
        <v>10083</v>
      </c>
      <c r="B84" s="18" t="s">
        <v>7</v>
      </c>
      <c r="C84" s="19">
        <v>5</v>
      </c>
      <c r="D84" s="19">
        <v>5634</v>
      </c>
      <c r="E84" s="20" t="s">
        <v>12</v>
      </c>
      <c r="F84" s="20" t="s">
        <v>59</v>
      </c>
      <c r="G84" s="21">
        <v>185</v>
      </c>
      <c r="H84" s="22">
        <v>140</v>
      </c>
      <c r="I84" s="21">
        <f t="shared" si="2"/>
        <v>25900</v>
      </c>
      <c r="J84" s="23">
        <v>30</v>
      </c>
      <c r="K84" s="24">
        <v>42672</v>
      </c>
      <c r="L84" s="24">
        <v>42678</v>
      </c>
    </row>
    <row r="85" spans="1:12" ht="15" thickTop="1" thickBot="1" x14ac:dyDescent="0.2">
      <c r="A85" s="12">
        <v>10084</v>
      </c>
      <c r="B85" s="4" t="s">
        <v>0</v>
      </c>
      <c r="C85" s="5">
        <v>2</v>
      </c>
      <c r="D85" s="5">
        <v>6489</v>
      </c>
      <c r="E85" s="6" t="s">
        <v>20</v>
      </c>
      <c r="F85" s="6" t="s">
        <v>49</v>
      </c>
      <c r="G85" s="7">
        <v>3</v>
      </c>
      <c r="H85" s="8">
        <v>1050</v>
      </c>
      <c r="I85" s="7">
        <f t="shared" si="2"/>
        <v>3150</v>
      </c>
      <c r="J85" s="9">
        <v>25</v>
      </c>
      <c r="K85" s="10">
        <v>42672</v>
      </c>
      <c r="L85" s="10">
        <v>42684</v>
      </c>
    </row>
    <row r="86" spans="1:12" ht="15" thickTop="1" thickBot="1" x14ac:dyDescent="0.2">
      <c r="A86" s="12">
        <v>10085</v>
      </c>
      <c r="B86" s="18" t="s">
        <v>2</v>
      </c>
      <c r="C86" s="19">
        <v>4</v>
      </c>
      <c r="D86" s="19">
        <v>5689</v>
      </c>
      <c r="E86" s="20" t="s">
        <v>12</v>
      </c>
      <c r="F86" s="20" t="s">
        <v>60</v>
      </c>
      <c r="G86" s="21">
        <v>175</v>
      </c>
      <c r="H86" s="22">
        <v>150</v>
      </c>
      <c r="I86" s="21">
        <f t="shared" si="2"/>
        <v>26250</v>
      </c>
      <c r="J86" s="23">
        <v>30</v>
      </c>
      <c r="K86" s="24">
        <v>42675</v>
      </c>
      <c r="L86" s="24">
        <v>42683</v>
      </c>
    </row>
    <row r="87" spans="1:12" ht="15" thickTop="1" thickBot="1" x14ac:dyDescent="0.2">
      <c r="A87" s="12">
        <v>10086</v>
      </c>
      <c r="B87" s="4" t="s">
        <v>2</v>
      </c>
      <c r="C87" s="5">
        <v>4</v>
      </c>
      <c r="D87" s="5">
        <v>7268</v>
      </c>
      <c r="E87" s="6" t="s">
        <v>18</v>
      </c>
      <c r="F87" s="6" t="s">
        <v>53</v>
      </c>
      <c r="G87" s="7">
        <v>95</v>
      </c>
      <c r="H87" s="8">
        <v>110</v>
      </c>
      <c r="I87" s="7">
        <f t="shared" si="2"/>
        <v>10450</v>
      </c>
      <c r="J87" s="9">
        <v>30</v>
      </c>
      <c r="K87" s="10">
        <v>42675</v>
      </c>
      <c r="L87" s="10">
        <v>42686</v>
      </c>
    </row>
    <row r="88" spans="1:12" ht="15" thickTop="1" thickBot="1" x14ac:dyDescent="0.2">
      <c r="A88" s="12">
        <v>10087</v>
      </c>
      <c r="B88" s="18" t="s">
        <v>9</v>
      </c>
      <c r="C88" s="19">
        <v>7</v>
      </c>
      <c r="D88" s="19">
        <v>9955</v>
      </c>
      <c r="E88" s="20" t="s">
        <v>16</v>
      </c>
      <c r="F88" s="20" t="s">
        <v>35</v>
      </c>
      <c r="G88" s="21">
        <v>0.55000000000000004</v>
      </c>
      <c r="H88" s="22">
        <v>150</v>
      </c>
      <c r="I88" s="21">
        <f t="shared" si="2"/>
        <v>82.5</v>
      </c>
      <c r="J88" s="23">
        <v>30</v>
      </c>
      <c r="K88" s="24">
        <v>42675</v>
      </c>
      <c r="L88" s="24">
        <v>42680</v>
      </c>
    </row>
    <row r="89" spans="1:12" ht="15" thickTop="1" thickBot="1" x14ac:dyDescent="0.2">
      <c r="A89" s="12">
        <v>10088</v>
      </c>
      <c r="B89" s="4" t="s">
        <v>9</v>
      </c>
      <c r="C89" s="5">
        <v>7</v>
      </c>
      <c r="D89" s="5">
        <v>9977</v>
      </c>
      <c r="E89" s="6" t="s">
        <v>14</v>
      </c>
      <c r="F89" s="6" t="s">
        <v>50</v>
      </c>
      <c r="G89" s="7">
        <v>1</v>
      </c>
      <c r="H89" s="8">
        <v>525</v>
      </c>
      <c r="I89" s="7">
        <f t="shared" si="2"/>
        <v>525</v>
      </c>
      <c r="J89" s="9">
        <v>30</v>
      </c>
      <c r="K89" s="10">
        <v>42675</v>
      </c>
      <c r="L89" s="10">
        <v>42681</v>
      </c>
    </row>
    <row r="90" spans="1:12" ht="15" thickTop="1" thickBot="1" x14ac:dyDescent="0.2">
      <c r="A90" s="12">
        <v>10089</v>
      </c>
      <c r="B90" s="18" t="s">
        <v>8</v>
      </c>
      <c r="C90" s="19">
        <v>6</v>
      </c>
      <c r="D90" s="19">
        <v>5677</v>
      </c>
      <c r="E90" s="20" t="s">
        <v>12</v>
      </c>
      <c r="F90" s="20" t="s">
        <v>61</v>
      </c>
      <c r="G90" s="21">
        <v>195</v>
      </c>
      <c r="H90" s="22">
        <v>120</v>
      </c>
      <c r="I90" s="21">
        <f t="shared" si="2"/>
        <v>23400</v>
      </c>
      <c r="J90" s="23">
        <v>30</v>
      </c>
      <c r="K90" s="24">
        <v>42676</v>
      </c>
      <c r="L90" s="24">
        <v>42687</v>
      </c>
    </row>
    <row r="91" spans="1:12" ht="15" thickTop="1" thickBot="1" x14ac:dyDescent="0.2">
      <c r="A91" s="12">
        <v>10090</v>
      </c>
      <c r="B91" s="4" t="s">
        <v>8</v>
      </c>
      <c r="C91" s="5">
        <v>6</v>
      </c>
      <c r="D91" s="5">
        <v>5677</v>
      </c>
      <c r="E91" s="6" t="s">
        <v>12</v>
      </c>
      <c r="F91" s="6" t="s">
        <v>61</v>
      </c>
      <c r="G91" s="7">
        <v>195</v>
      </c>
      <c r="H91" s="8">
        <v>110</v>
      </c>
      <c r="I91" s="7">
        <f t="shared" si="2"/>
        <v>21450</v>
      </c>
      <c r="J91" s="9">
        <v>30</v>
      </c>
      <c r="K91" s="10">
        <v>42679</v>
      </c>
      <c r="L91" s="10">
        <v>42691</v>
      </c>
    </row>
    <row r="92" spans="1:12" ht="15" thickTop="1" thickBot="1" x14ac:dyDescent="0.2">
      <c r="A92" s="12">
        <v>10091</v>
      </c>
      <c r="B92" s="4" t="s">
        <v>2</v>
      </c>
      <c r="C92" s="5">
        <v>4</v>
      </c>
      <c r="D92" s="5">
        <v>5689</v>
      </c>
      <c r="E92" s="6" t="s">
        <v>12</v>
      </c>
      <c r="F92" s="6" t="s">
        <v>60</v>
      </c>
      <c r="G92" s="7">
        <v>175</v>
      </c>
      <c r="H92" s="8">
        <v>175</v>
      </c>
      <c r="I92" s="7">
        <f t="shared" si="2"/>
        <v>30625</v>
      </c>
      <c r="J92" s="9">
        <v>30</v>
      </c>
      <c r="K92" s="10">
        <v>42679</v>
      </c>
      <c r="L92" s="10">
        <v>42689</v>
      </c>
    </row>
    <row r="93" spans="1:12" ht="15" thickTop="1" thickBot="1" x14ac:dyDescent="0.2">
      <c r="A93" s="12">
        <v>10092</v>
      </c>
      <c r="B93" s="18" t="s">
        <v>2</v>
      </c>
      <c r="C93" s="19">
        <v>4</v>
      </c>
      <c r="D93" s="19">
        <v>7268</v>
      </c>
      <c r="E93" s="20" t="s">
        <v>18</v>
      </c>
      <c r="F93" s="20" t="s">
        <v>53</v>
      </c>
      <c r="G93" s="21">
        <v>95</v>
      </c>
      <c r="H93" s="22">
        <v>105</v>
      </c>
      <c r="I93" s="21">
        <f t="shared" si="2"/>
        <v>9975</v>
      </c>
      <c r="J93" s="23">
        <v>30</v>
      </c>
      <c r="K93" s="24">
        <v>42679</v>
      </c>
      <c r="L93" s="24">
        <v>42690</v>
      </c>
    </row>
    <row r="94" spans="1:12" ht="15" thickTop="1" thickBot="1" x14ac:dyDescent="0.2">
      <c r="A94" s="12">
        <v>10093</v>
      </c>
      <c r="B94" s="4" t="s">
        <v>9</v>
      </c>
      <c r="C94" s="5">
        <v>7</v>
      </c>
      <c r="D94" s="5">
        <v>9955</v>
      </c>
      <c r="E94" s="6" t="s">
        <v>16</v>
      </c>
      <c r="F94" s="6" t="s">
        <v>35</v>
      </c>
      <c r="G94" s="7">
        <v>0.55000000000000004</v>
      </c>
      <c r="H94" s="8">
        <v>125</v>
      </c>
      <c r="I94" s="7">
        <f t="shared" si="2"/>
        <v>68.75</v>
      </c>
      <c r="J94" s="9">
        <v>30</v>
      </c>
      <c r="K94" s="10">
        <v>42679</v>
      </c>
      <c r="L94" s="10">
        <v>42684</v>
      </c>
    </row>
    <row r="95" spans="1:12" ht="14" thickTop="1" x14ac:dyDescent="0.15">
      <c r="A95" s="12">
        <v>10094</v>
      </c>
      <c r="B95" s="18" t="s">
        <v>9</v>
      </c>
      <c r="C95" s="19">
        <v>7</v>
      </c>
      <c r="D95" s="19">
        <v>9967</v>
      </c>
      <c r="E95" s="20" t="s">
        <v>15</v>
      </c>
      <c r="F95" s="20" t="s">
        <v>43</v>
      </c>
      <c r="G95" s="21">
        <v>0.85</v>
      </c>
      <c r="H95" s="22">
        <v>550</v>
      </c>
      <c r="I95" s="21">
        <f t="shared" si="2"/>
        <v>467.5</v>
      </c>
      <c r="J95" s="23">
        <v>30</v>
      </c>
      <c r="K95" s="24">
        <v>42679</v>
      </c>
      <c r="L95" s="24">
        <v>42685</v>
      </c>
    </row>
  </sheetData>
  <sortState xmlns:xlrd2="http://schemas.microsoft.com/office/spreadsheetml/2017/richdata2" ref="B4:N97">
    <sortCondition ref="K4"/>
  </sortState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>Azimuth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Langley</dc:creator>
  <cp:lastModifiedBy>Eric Gentry</cp:lastModifiedBy>
  <cp:lastPrinted>2001-12-05T15:40:15Z</cp:lastPrinted>
  <dcterms:created xsi:type="dcterms:W3CDTF">2001-11-27T21:31:21Z</dcterms:created>
  <dcterms:modified xsi:type="dcterms:W3CDTF">2025-01-20T03:49:33Z</dcterms:modified>
</cp:coreProperties>
</file>